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P:\BITSOM\Capstone Project\Part 3\analysis\"/>
    </mc:Choice>
  </mc:AlternateContent>
  <xr:revisionPtr revIDLastSave="0" documentId="13_ncr:1_{AA97AD44-F56D-4E17-82B8-2B101876A47D}" xr6:coauthVersionLast="47" xr6:coauthVersionMax="47" xr10:uidLastSave="{00000000-0000-0000-0000-000000000000}"/>
  <bookViews>
    <workbookView xWindow="-108" yWindow="-108" windowWidth="23256" windowHeight="13896" tabRatio="877" xr2:uid="{00000000-000D-0000-FFFF-FFFF00000000}"/>
  </bookViews>
  <sheets>
    <sheet name="cleaned_store_performance" sheetId="4" r:id="rId1"/>
    <sheet name="dummy_variable_creation" sheetId="5" r:id="rId2"/>
    <sheet name="Simple_regression_1" sheetId="6" r:id="rId3"/>
    <sheet name="Simple_regression_2" sheetId="7" r:id="rId4"/>
    <sheet name="Multiple_regression" sheetId="13" r:id="rId5"/>
    <sheet name="multiple_regression_data" sheetId="8" r:id="rId6"/>
    <sheet name="residual_analysis" sheetId="14" r:id="rId7"/>
    <sheet name="largest_residuals" sheetId="15" r:id="rId8"/>
    <sheet name="original_store_performance" sheetId="2" r:id="rId9"/>
    <sheet name="data_dictionary" sheetId="3" r:id="rId10"/>
  </sheets>
  <definedNames>
    <definedName name="_xlnm._FilterDatabase" localSheetId="0" hidden="1">cleaned_store_performance!$A$1:$L$321</definedName>
    <definedName name="_xlnm._FilterDatabase" localSheetId="1" hidden="1">dummy_variable_creation!$A$1:$I$321</definedName>
    <definedName name="_xlnm._FilterDatabase" localSheetId="8" hidden="1">original_store_performance!$A$1:$N$321</definedName>
    <definedName name="_xlnm._FilterDatabase" localSheetId="6" hidden="1">residual_analysis!$A$1:$K$321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5" l="1"/>
  <c r="J15" i="15" s="1"/>
  <c r="K15" i="15" s="1"/>
  <c r="J14" i="15"/>
  <c r="K14" i="15" s="1"/>
  <c r="I14" i="15"/>
  <c r="J13" i="15"/>
  <c r="K13" i="15" s="1"/>
  <c r="I13" i="15"/>
  <c r="I12" i="15"/>
  <c r="J12" i="15" s="1"/>
  <c r="K12" i="15" s="1"/>
  <c r="I11" i="15"/>
  <c r="J11" i="15" s="1"/>
  <c r="K11" i="15" s="1"/>
  <c r="I6" i="15"/>
  <c r="J6" i="15" s="1"/>
  <c r="K6" i="15" s="1"/>
  <c r="J5" i="15"/>
  <c r="K5" i="15" s="1"/>
  <c r="I5" i="15"/>
  <c r="J4" i="15"/>
  <c r="K4" i="15" s="1"/>
  <c r="I4" i="15"/>
  <c r="I3" i="15"/>
  <c r="J3" i="15" s="1"/>
  <c r="K3" i="15" s="1"/>
  <c r="I2" i="15"/>
  <c r="J2" i="15" s="1"/>
  <c r="K2" i="15" s="1"/>
  <c r="J277" i="14"/>
  <c r="K277" i="14" s="1"/>
  <c r="J95" i="14"/>
  <c r="K95" i="14" s="1"/>
  <c r="J25" i="14"/>
  <c r="K25" i="14" s="1"/>
  <c r="J48" i="14"/>
  <c r="K48" i="14" s="1"/>
  <c r="J284" i="14"/>
  <c r="K284" i="14" s="1"/>
  <c r="J157" i="14"/>
  <c r="K157" i="14" s="1"/>
  <c r="J314" i="14"/>
  <c r="K314" i="14" s="1"/>
  <c r="I310" i="14"/>
  <c r="J310" i="14" s="1"/>
  <c r="K310" i="14" s="1"/>
  <c r="I300" i="14"/>
  <c r="J300" i="14" s="1"/>
  <c r="K300" i="14" s="1"/>
  <c r="I318" i="14"/>
  <c r="J318" i="14" s="1"/>
  <c r="K318" i="14" s="1"/>
  <c r="I277" i="14"/>
  <c r="I246" i="14"/>
  <c r="J246" i="14" s="1"/>
  <c r="K246" i="14" s="1"/>
  <c r="I159" i="14"/>
  <c r="J159" i="14" s="1"/>
  <c r="K159" i="14" s="1"/>
  <c r="I31" i="14"/>
  <c r="J31" i="14" s="1"/>
  <c r="K31" i="14" s="1"/>
  <c r="I8" i="14"/>
  <c r="J8" i="14" s="1"/>
  <c r="K8" i="14" s="1"/>
  <c r="I191" i="14"/>
  <c r="J191" i="14" s="1"/>
  <c r="K191" i="14" s="1"/>
  <c r="I162" i="14"/>
  <c r="J162" i="14" s="1"/>
  <c r="K162" i="14" s="1"/>
  <c r="I17" i="14"/>
  <c r="J17" i="14" s="1"/>
  <c r="K17" i="14" s="1"/>
  <c r="I67" i="14"/>
  <c r="J67" i="14" s="1"/>
  <c r="K67" i="14" s="1"/>
  <c r="I301" i="14"/>
  <c r="J301" i="14" s="1"/>
  <c r="K301" i="14" s="1"/>
  <c r="I247" i="14"/>
  <c r="J247" i="14" s="1"/>
  <c r="K247" i="14" s="1"/>
  <c r="I132" i="14"/>
  <c r="J132" i="14" s="1"/>
  <c r="K132" i="14" s="1"/>
  <c r="I264" i="14"/>
  <c r="J264" i="14" s="1"/>
  <c r="K264" i="14" s="1"/>
  <c r="I269" i="14"/>
  <c r="J269" i="14" s="1"/>
  <c r="K269" i="14" s="1"/>
  <c r="I273" i="14"/>
  <c r="J273" i="14" s="1"/>
  <c r="K273" i="14" s="1"/>
  <c r="I259" i="14"/>
  <c r="J259" i="14" s="1"/>
  <c r="K259" i="14" s="1"/>
  <c r="I312" i="14"/>
  <c r="J312" i="14" s="1"/>
  <c r="K312" i="14" s="1"/>
  <c r="I234" i="14"/>
  <c r="J234" i="14" s="1"/>
  <c r="K234" i="14" s="1"/>
  <c r="I126" i="14"/>
  <c r="J126" i="14" s="1"/>
  <c r="K126" i="14" s="1"/>
  <c r="I181" i="14"/>
  <c r="J181" i="14" s="1"/>
  <c r="K181" i="14" s="1"/>
  <c r="I208" i="14"/>
  <c r="J208" i="14" s="1"/>
  <c r="K208" i="14" s="1"/>
  <c r="I311" i="14"/>
  <c r="J311" i="14" s="1"/>
  <c r="K311" i="14" s="1"/>
  <c r="I143" i="14"/>
  <c r="J143" i="14" s="1"/>
  <c r="K143" i="14" s="1"/>
  <c r="I38" i="14"/>
  <c r="J38" i="14" s="1"/>
  <c r="K38" i="14" s="1"/>
  <c r="I317" i="14"/>
  <c r="J317" i="14" s="1"/>
  <c r="K317" i="14" s="1"/>
  <c r="I219" i="14"/>
  <c r="J219" i="14" s="1"/>
  <c r="K219" i="14" s="1"/>
  <c r="I250" i="14"/>
  <c r="J250" i="14" s="1"/>
  <c r="K250" i="14" s="1"/>
  <c r="I291" i="14"/>
  <c r="J291" i="14" s="1"/>
  <c r="K291" i="14" s="1"/>
  <c r="I316" i="14"/>
  <c r="J316" i="14" s="1"/>
  <c r="K316" i="14" s="1"/>
  <c r="I304" i="14"/>
  <c r="J304" i="14" s="1"/>
  <c r="K304" i="14" s="1"/>
  <c r="I211" i="14"/>
  <c r="J211" i="14" s="1"/>
  <c r="K211" i="14" s="1"/>
  <c r="I251" i="14"/>
  <c r="J251" i="14" s="1"/>
  <c r="K251" i="14" s="1"/>
  <c r="I21" i="14"/>
  <c r="J21" i="14" s="1"/>
  <c r="K21" i="14" s="1"/>
  <c r="I223" i="14"/>
  <c r="J223" i="14" s="1"/>
  <c r="K223" i="14" s="1"/>
  <c r="I173" i="14"/>
  <c r="J173" i="14" s="1"/>
  <c r="K173" i="14" s="1"/>
  <c r="I171" i="14"/>
  <c r="J171" i="14" s="1"/>
  <c r="K171" i="14" s="1"/>
  <c r="I122" i="14"/>
  <c r="J122" i="14" s="1"/>
  <c r="K122" i="14" s="1"/>
  <c r="I138" i="14"/>
  <c r="J138" i="14" s="1"/>
  <c r="K138" i="14" s="1"/>
  <c r="I26" i="14"/>
  <c r="J26" i="14" s="1"/>
  <c r="K26" i="14" s="1"/>
  <c r="I115" i="14"/>
  <c r="J115" i="14" s="1"/>
  <c r="K115" i="14" s="1"/>
  <c r="I320" i="14"/>
  <c r="J320" i="14" s="1"/>
  <c r="K320" i="14" s="1"/>
  <c r="I270" i="14"/>
  <c r="J270" i="14" s="1"/>
  <c r="K270" i="14" s="1"/>
  <c r="I95" i="14"/>
  <c r="I98" i="14"/>
  <c r="J98" i="14" s="1"/>
  <c r="K98" i="14" s="1"/>
  <c r="I240" i="14"/>
  <c r="J240" i="14" s="1"/>
  <c r="K240" i="14" s="1"/>
  <c r="I81" i="14"/>
  <c r="J81" i="14" s="1"/>
  <c r="K81" i="14" s="1"/>
  <c r="I64" i="14"/>
  <c r="J64" i="14" s="1"/>
  <c r="K64" i="14" s="1"/>
  <c r="I36" i="14"/>
  <c r="J36" i="14" s="1"/>
  <c r="K36" i="14" s="1"/>
  <c r="I263" i="14"/>
  <c r="J263" i="14" s="1"/>
  <c r="K263" i="14" s="1"/>
  <c r="I51" i="14"/>
  <c r="J51" i="14" s="1"/>
  <c r="K51" i="14" s="1"/>
  <c r="I53" i="14"/>
  <c r="J53" i="14" s="1"/>
  <c r="K53" i="14" s="1"/>
  <c r="I275" i="14"/>
  <c r="J275" i="14" s="1"/>
  <c r="K275" i="14" s="1"/>
  <c r="I183" i="14"/>
  <c r="J183" i="14" s="1"/>
  <c r="K183" i="14" s="1"/>
  <c r="I189" i="14"/>
  <c r="J189" i="14" s="1"/>
  <c r="K189" i="14" s="1"/>
  <c r="I289" i="14"/>
  <c r="J289" i="14" s="1"/>
  <c r="K289" i="14" s="1"/>
  <c r="I232" i="14"/>
  <c r="J232" i="14" s="1"/>
  <c r="K232" i="14" s="1"/>
  <c r="I40" i="14"/>
  <c r="J40" i="14" s="1"/>
  <c r="K40" i="14" s="1"/>
  <c r="I66" i="14"/>
  <c r="J66" i="14" s="1"/>
  <c r="K66" i="14" s="1"/>
  <c r="I218" i="14"/>
  <c r="J218" i="14" s="1"/>
  <c r="K218" i="14" s="1"/>
  <c r="I80" i="14"/>
  <c r="J80" i="14" s="1"/>
  <c r="K80" i="14" s="1"/>
  <c r="I203" i="14"/>
  <c r="J203" i="14" s="1"/>
  <c r="K203" i="14" s="1"/>
  <c r="I150" i="14"/>
  <c r="J150" i="14" s="1"/>
  <c r="K150" i="14" s="1"/>
  <c r="I319" i="14"/>
  <c r="J319" i="14" s="1"/>
  <c r="K319" i="14" s="1"/>
  <c r="I164" i="14"/>
  <c r="J164" i="14" s="1"/>
  <c r="K164" i="14" s="1"/>
  <c r="I29" i="14"/>
  <c r="J29" i="14" s="1"/>
  <c r="K29" i="14" s="1"/>
  <c r="I261" i="14"/>
  <c r="J261" i="14" s="1"/>
  <c r="K261" i="14" s="1"/>
  <c r="I178" i="14"/>
  <c r="J178" i="14" s="1"/>
  <c r="K178" i="14" s="1"/>
  <c r="I74" i="14"/>
  <c r="J74" i="14" s="1"/>
  <c r="K74" i="14" s="1"/>
  <c r="I165" i="14"/>
  <c r="J165" i="14" s="1"/>
  <c r="K165" i="14" s="1"/>
  <c r="I297" i="14"/>
  <c r="J297" i="14" s="1"/>
  <c r="K297" i="14" s="1"/>
  <c r="I30" i="14"/>
  <c r="J30" i="14" s="1"/>
  <c r="K30" i="14" s="1"/>
  <c r="I283" i="14"/>
  <c r="J283" i="14" s="1"/>
  <c r="K283" i="14" s="1"/>
  <c r="I199" i="14"/>
  <c r="J199" i="14" s="1"/>
  <c r="K199" i="14" s="1"/>
  <c r="I91" i="14"/>
  <c r="J91" i="14" s="1"/>
  <c r="K91" i="14" s="1"/>
  <c r="I65" i="14"/>
  <c r="J65" i="14" s="1"/>
  <c r="K65" i="14" s="1"/>
  <c r="I274" i="14"/>
  <c r="J274" i="14" s="1"/>
  <c r="K274" i="14" s="1"/>
  <c r="I192" i="14"/>
  <c r="J192" i="14" s="1"/>
  <c r="K192" i="14" s="1"/>
  <c r="I28" i="14"/>
  <c r="J28" i="14" s="1"/>
  <c r="K28" i="14" s="1"/>
  <c r="I9" i="14"/>
  <c r="J9" i="14" s="1"/>
  <c r="K9" i="14" s="1"/>
  <c r="I105" i="14"/>
  <c r="J105" i="14" s="1"/>
  <c r="K105" i="14" s="1"/>
  <c r="I79" i="14"/>
  <c r="J79" i="14" s="1"/>
  <c r="K79" i="14" s="1"/>
  <c r="I242" i="14"/>
  <c r="J242" i="14" s="1"/>
  <c r="K242" i="14" s="1"/>
  <c r="I68" i="14"/>
  <c r="J68" i="14" s="1"/>
  <c r="K68" i="14" s="1"/>
  <c r="I160" i="14"/>
  <c r="J160" i="14" s="1"/>
  <c r="K160" i="14" s="1"/>
  <c r="I50" i="14"/>
  <c r="J50" i="14" s="1"/>
  <c r="K50" i="14" s="1"/>
  <c r="I321" i="14"/>
  <c r="J321" i="14" s="1"/>
  <c r="K321" i="14" s="1"/>
  <c r="I77" i="14"/>
  <c r="J77" i="14" s="1"/>
  <c r="K77" i="14" s="1"/>
  <c r="I102" i="14"/>
  <c r="J102" i="14" s="1"/>
  <c r="K102" i="14" s="1"/>
  <c r="I210" i="14"/>
  <c r="J210" i="14" s="1"/>
  <c r="K210" i="14" s="1"/>
  <c r="I39" i="14"/>
  <c r="J39" i="14" s="1"/>
  <c r="K39" i="14" s="1"/>
  <c r="I34" i="14"/>
  <c r="J34" i="14" s="1"/>
  <c r="K34" i="14" s="1"/>
  <c r="I196" i="14"/>
  <c r="J196" i="14" s="1"/>
  <c r="K196" i="14" s="1"/>
  <c r="I43" i="14"/>
  <c r="J43" i="14" s="1"/>
  <c r="K43" i="14" s="1"/>
  <c r="I7" i="14"/>
  <c r="J7" i="14" s="1"/>
  <c r="K7" i="14" s="1"/>
  <c r="I146" i="14"/>
  <c r="J146" i="14" s="1"/>
  <c r="K146" i="14" s="1"/>
  <c r="I87" i="14"/>
  <c r="J87" i="14" s="1"/>
  <c r="K87" i="14" s="1"/>
  <c r="I58" i="14"/>
  <c r="J58" i="14" s="1"/>
  <c r="K58" i="14" s="1"/>
  <c r="I235" i="14"/>
  <c r="J235" i="14" s="1"/>
  <c r="K235" i="14" s="1"/>
  <c r="I96" i="14"/>
  <c r="J96" i="14" s="1"/>
  <c r="K96" i="14" s="1"/>
  <c r="I5" i="14"/>
  <c r="J5" i="14" s="1"/>
  <c r="K5" i="14" s="1"/>
  <c r="I71" i="14"/>
  <c r="J71" i="14" s="1"/>
  <c r="K71" i="14" s="1"/>
  <c r="I177" i="14"/>
  <c r="J177" i="14" s="1"/>
  <c r="K177" i="14" s="1"/>
  <c r="I25" i="14"/>
  <c r="I86" i="14"/>
  <c r="J86" i="14" s="1"/>
  <c r="K86" i="14" s="1"/>
  <c r="I52" i="14"/>
  <c r="J52" i="14" s="1"/>
  <c r="K52" i="14" s="1"/>
  <c r="I113" i="14"/>
  <c r="J113" i="14" s="1"/>
  <c r="K113" i="14" s="1"/>
  <c r="I237" i="14"/>
  <c r="J237" i="14" s="1"/>
  <c r="K237" i="14" s="1"/>
  <c r="I2" i="14"/>
  <c r="J2" i="14" s="1"/>
  <c r="K2" i="14" s="1"/>
  <c r="I57" i="14"/>
  <c r="J57" i="14" s="1"/>
  <c r="K57" i="14" s="1"/>
  <c r="I49" i="14"/>
  <c r="J49" i="14" s="1"/>
  <c r="K49" i="14" s="1"/>
  <c r="I267" i="14"/>
  <c r="J267" i="14" s="1"/>
  <c r="K267" i="14" s="1"/>
  <c r="I228" i="14"/>
  <c r="J228" i="14" s="1"/>
  <c r="K228" i="14" s="1"/>
  <c r="I176" i="14"/>
  <c r="J176" i="14" s="1"/>
  <c r="K176" i="14" s="1"/>
  <c r="I14" i="14"/>
  <c r="J14" i="14" s="1"/>
  <c r="K14" i="14" s="1"/>
  <c r="I262" i="14"/>
  <c r="J262" i="14" s="1"/>
  <c r="K262" i="14" s="1"/>
  <c r="I144" i="14"/>
  <c r="J144" i="14" s="1"/>
  <c r="K144" i="14" s="1"/>
  <c r="I268" i="14"/>
  <c r="J268" i="14" s="1"/>
  <c r="K268" i="14" s="1"/>
  <c r="I78" i="14"/>
  <c r="J78" i="14" s="1"/>
  <c r="K78" i="14" s="1"/>
  <c r="I265" i="14"/>
  <c r="J265" i="14" s="1"/>
  <c r="K265" i="14" s="1"/>
  <c r="I254" i="14"/>
  <c r="J254" i="14" s="1"/>
  <c r="K254" i="14" s="1"/>
  <c r="I13" i="14"/>
  <c r="J13" i="14" s="1"/>
  <c r="K13" i="14" s="1"/>
  <c r="I244" i="14"/>
  <c r="J244" i="14" s="1"/>
  <c r="K244" i="14" s="1"/>
  <c r="I37" i="14"/>
  <c r="J37" i="14" s="1"/>
  <c r="K37" i="14" s="1"/>
  <c r="I195" i="14"/>
  <c r="J195" i="14" s="1"/>
  <c r="K195" i="14" s="1"/>
  <c r="I125" i="14"/>
  <c r="J125" i="14" s="1"/>
  <c r="K125" i="14" s="1"/>
  <c r="I217" i="14"/>
  <c r="J217" i="14" s="1"/>
  <c r="K217" i="14" s="1"/>
  <c r="I294" i="14"/>
  <c r="J294" i="14" s="1"/>
  <c r="K294" i="14" s="1"/>
  <c r="I154" i="14"/>
  <c r="J154" i="14" s="1"/>
  <c r="K154" i="14" s="1"/>
  <c r="I282" i="14"/>
  <c r="J282" i="14" s="1"/>
  <c r="K282" i="14" s="1"/>
  <c r="I299" i="14"/>
  <c r="J299" i="14" s="1"/>
  <c r="K299" i="14" s="1"/>
  <c r="I167" i="14"/>
  <c r="J167" i="14" s="1"/>
  <c r="K167" i="14" s="1"/>
  <c r="I221" i="14"/>
  <c r="J221" i="14" s="1"/>
  <c r="K221" i="14" s="1"/>
  <c r="I315" i="14"/>
  <c r="J315" i="14" s="1"/>
  <c r="K315" i="14" s="1"/>
  <c r="I88" i="14"/>
  <c r="J88" i="14" s="1"/>
  <c r="K88" i="14" s="1"/>
  <c r="I59" i="14"/>
  <c r="J59" i="14" s="1"/>
  <c r="K59" i="14" s="1"/>
  <c r="I170" i="14"/>
  <c r="J170" i="14" s="1"/>
  <c r="K170" i="14" s="1"/>
  <c r="I63" i="14"/>
  <c r="J63" i="14" s="1"/>
  <c r="K63" i="14" s="1"/>
  <c r="I97" i="14"/>
  <c r="J97" i="14" s="1"/>
  <c r="K97" i="14" s="1"/>
  <c r="I48" i="14"/>
  <c r="I54" i="14"/>
  <c r="J54" i="14" s="1"/>
  <c r="K54" i="14" s="1"/>
  <c r="I280" i="14"/>
  <c r="J280" i="14" s="1"/>
  <c r="K280" i="14" s="1"/>
  <c r="I214" i="14"/>
  <c r="J214" i="14" s="1"/>
  <c r="K214" i="14" s="1"/>
  <c r="I184" i="14"/>
  <c r="J184" i="14" s="1"/>
  <c r="K184" i="14" s="1"/>
  <c r="I182" i="14"/>
  <c r="J182" i="14" s="1"/>
  <c r="K182" i="14" s="1"/>
  <c r="I118" i="14"/>
  <c r="J118" i="14" s="1"/>
  <c r="K118" i="14" s="1"/>
  <c r="I131" i="14"/>
  <c r="J131" i="14" s="1"/>
  <c r="K131" i="14" s="1"/>
  <c r="I89" i="14"/>
  <c r="J89" i="14" s="1"/>
  <c r="K89" i="14" s="1"/>
  <c r="I109" i="14"/>
  <c r="J109" i="14" s="1"/>
  <c r="K109" i="14" s="1"/>
  <c r="I255" i="14"/>
  <c r="J255" i="14" s="1"/>
  <c r="K255" i="14" s="1"/>
  <c r="I156" i="14"/>
  <c r="J156" i="14" s="1"/>
  <c r="K156" i="14" s="1"/>
  <c r="I284" i="14"/>
  <c r="I207" i="14"/>
  <c r="J207" i="14" s="1"/>
  <c r="K207" i="14" s="1"/>
  <c r="I179" i="14"/>
  <c r="J179" i="14" s="1"/>
  <c r="K179" i="14" s="1"/>
  <c r="I222" i="14"/>
  <c r="J222" i="14" s="1"/>
  <c r="K222" i="14" s="1"/>
  <c r="I33" i="14"/>
  <c r="J33" i="14" s="1"/>
  <c r="K33" i="14" s="1"/>
  <c r="I27" i="14"/>
  <c r="J27" i="14" s="1"/>
  <c r="K27" i="14" s="1"/>
  <c r="I288" i="14"/>
  <c r="J288" i="14" s="1"/>
  <c r="K288" i="14" s="1"/>
  <c r="I20" i="14"/>
  <c r="J20" i="14" s="1"/>
  <c r="K20" i="14" s="1"/>
  <c r="I229" i="14"/>
  <c r="J229" i="14" s="1"/>
  <c r="K229" i="14" s="1"/>
  <c r="I225" i="14"/>
  <c r="J225" i="14" s="1"/>
  <c r="K225" i="14" s="1"/>
  <c r="I24" i="14"/>
  <c r="J24" i="14" s="1"/>
  <c r="K24" i="14" s="1"/>
  <c r="I169" i="14"/>
  <c r="J169" i="14" s="1"/>
  <c r="K169" i="14" s="1"/>
  <c r="I174" i="14"/>
  <c r="J174" i="14" s="1"/>
  <c r="K174" i="14" s="1"/>
  <c r="I93" i="14"/>
  <c r="J93" i="14" s="1"/>
  <c r="K93" i="14" s="1"/>
  <c r="I204" i="14"/>
  <c r="J204" i="14" s="1"/>
  <c r="K204" i="14" s="1"/>
  <c r="I308" i="14"/>
  <c r="J308" i="14" s="1"/>
  <c r="K308" i="14" s="1"/>
  <c r="I60" i="14"/>
  <c r="J60" i="14" s="1"/>
  <c r="K60" i="14" s="1"/>
  <c r="I249" i="14"/>
  <c r="J249" i="14" s="1"/>
  <c r="K249" i="14" s="1"/>
  <c r="I139" i="14"/>
  <c r="J139" i="14" s="1"/>
  <c r="K139" i="14" s="1"/>
  <c r="I278" i="14"/>
  <c r="J278" i="14" s="1"/>
  <c r="K278" i="14" s="1"/>
  <c r="I216" i="14"/>
  <c r="J216" i="14" s="1"/>
  <c r="K216" i="14" s="1"/>
  <c r="I258" i="14"/>
  <c r="J258" i="14" s="1"/>
  <c r="K258" i="14" s="1"/>
  <c r="I73" i="14"/>
  <c r="J73" i="14" s="1"/>
  <c r="K73" i="14" s="1"/>
  <c r="I6" i="14"/>
  <c r="J6" i="14" s="1"/>
  <c r="K6" i="14" s="1"/>
  <c r="I56" i="14"/>
  <c r="J56" i="14" s="1"/>
  <c r="K56" i="14" s="1"/>
  <c r="I11" i="14"/>
  <c r="J11" i="14" s="1"/>
  <c r="K11" i="14" s="1"/>
  <c r="I135" i="14"/>
  <c r="J135" i="14" s="1"/>
  <c r="K135" i="14" s="1"/>
  <c r="I94" i="14"/>
  <c r="J94" i="14" s="1"/>
  <c r="K94" i="14" s="1"/>
  <c r="I201" i="14"/>
  <c r="J201" i="14" s="1"/>
  <c r="K201" i="14" s="1"/>
  <c r="I185" i="14"/>
  <c r="J185" i="14" s="1"/>
  <c r="K185" i="14" s="1"/>
  <c r="I227" i="14"/>
  <c r="J227" i="14" s="1"/>
  <c r="K227" i="14" s="1"/>
  <c r="I69" i="14"/>
  <c r="J69" i="14" s="1"/>
  <c r="K69" i="14" s="1"/>
  <c r="I35" i="14"/>
  <c r="J35" i="14" s="1"/>
  <c r="K35" i="14" s="1"/>
  <c r="I70" i="14"/>
  <c r="J70" i="14" s="1"/>
  <c r="K70" i="14" s="1"/>
  <c r="I44" i="14"/>
  <c r="J44" i="14" s="1"/>
  <c r="K44" i="14" s="1"/>
  <c r="I163" i="14"/>
  <c r="J163" i="14" s="1"/>
  <c r="K163" i="14" s="1"/>
  <c r="I230" i="14"/>
  <c r="J230" i="14" s="1"/>
  <c r="K230" i="14" s="1"/>
  <c r="I296" i="14"/>
  <c r="J296" i="14" s="1"/>
  <c r="K296" i="14" s="1"/>
  <c r="I293" i="14"/>
  <c r="J293" i="14" s="1"/>
  <c r="K293" i="14" s="1"/>
  <c r="I231" i="14"/>
  <c r="J231" i="14" s="1"/>
  <c r="K231" i="14" s="1"/>
  <c r="I175" i="14"/>
  <c r="J175" i="14" s="1"/>
  <c r="K175" i="14" s="1"/>
  <c r="I292" i="14"/>
  <c r="J292" i="14" s="1"/>
  <c r="K292" i="14" s="1"/>
  <c r="I75" i="14"/>
  <c r="J75" i="14" s="1"/>
  <c r="K75" i="14" s="1"/>
  <c r="I197" i="14"/>
  <c r="J197" i="14" s="1"/>
  <c r="K197" i="14" s="1"/>
  <c r="I272" i="14"/>
  <c r="J272" i="14" s="1"/>
  <c r="K272" i="14" s="1"/>
  <c r="I22" i="14"/>
  <c r="J22" i="14" s="1"/>
  <c r="K22" i="14" s="1"/>
  <c r="I215" i="14"/>
  <c r="J215" i="14" s="1"/>
  <c r="K215" i="14" s="1"/>
  <c r="I4" i="14"/>
  <c r="J4" i="14" s="1"/>
  <c r="K4" i="14" s="1"/>
  <c r="I241" i="14"/>
  <c r="J241" i="14" s="1"/>
  <c r="K241" i="14" s="1"/>
  <c r="I253" i="14"/>
  <c r="J253" i="14" s="1"/>
  <c r="K253" i="14" s="1"/>
  <c r="I233" i="14"/>
  <c r="J233" i="14" s="1"/>
  <c r="K233" i="14" s="1"/>
  <c r="I41" i="14"/>
  <c r="J41" i="14" s="1"/>
  <c r="K41" i="14" s="1"/>
  <c r="I295" i="14"/>
  <c r="J295" i="14" s="1"/>
  <c r="K295" i="14" s="1"/>
  <c r="I309" i="14"/>
  <c r="J309" i="14" s="1"/>
  <c r="K309" i="14" s="1"/>
  <c r="I140" i="14"/>
  <c r="J140" i="14" s="1"/>
  <c r="K140" i="14" s="1"/>
  <c r="I307" i="14"/>
  <c r="J307" i="14" s="1"/>
  <c r="K307" i="14" s="1"/>
  <c r="I213" i="14"/>
  <c r="J213" i="14" s="1"/>
  <c r="K213" i="14" s="1"/>
  <c r="I130" i="14"/>
  <c r="J130" i="14" s="1"/>
  <c r="K130" i="14" s="1"/>
  <c r="I72" i="14"/>
  <c r="J72" i="14" s="1"/>
  <c r="K72" i="14" s="1"/>
  <c r="I55" i="14"/>
  <c r="J55" i="14" s="1"/>
  <c r="K55" i="14" s="1"/>
  <c r="I188" i="14"/>
  <c r="J188" i="14" s="1"/>
  <c r="K188" i="14" s="1"/>
  <c r="I137" i="14"/>
  <c r="J137" i="14" s="1"/>
  <c r="K137" i="14" s="1"/>
  <c r="I76" i="14"/>
  <c r="J76" i="14" s="1"/>
  <c r="K76" i="14" s="1"/>
  <c r="I99" i="14"/>
  <c r="J99" i="14" s="1"/>
  <c r="K99" i="14" s="1"/>
  <c r="I42" i="14"/>
  <c r="J42" i="14" s="1"/>
  <c r="K42" i="14" s="1"/>
  <c r="I124" i="14"/>
  <c r="J124" i="14" s="1"/>
  <c r="K124" i="14" s="1"/>
  <c r="I127" i="14"/>
  <c r="J127" i="14" s="1"/>
  <c r="K127" i="14" s="1"/>
  <c r="I205" i="14"/>
  <c r="J205" i="14" s="1"/>
  <c r="K205" i="14" s="1"/>
  <c r="I190" i="14"/>
  <c r="J190" i="14" s="1"/>
  <c r="K190" i="14" s="1"/>
  <c r="I257" i="14"/>
  <c r="J257" i="14" s="1"/>
  <c r="K257" i="14" s="1"/>
  <c r="I90" i="14"/>
  <c r="J90" i="14" s="1"/>
  <c r="K90" i="14" s="1"/>
  <c r="I133" i="14"/>
  <c r="J133" i="14" s="1"/>
  <c r="K133" i="14" s="1"/>
  <c r="I153" i="14"/>
  <c r="J153" i="14" s="1"/>
  <c r="K153" i="14" s="1"/>
  <c r="I84" i="14"/>
  <c r="J84" i="14" s="1"/>
  <c r="K84" i="14" s="1"/>
  <c r="I302" i="14"/>
  <c r="J302" i="14" s="1"/>
  <c r="K302" i="14" s="1"/>
  <c r="I3" i="14"/>
  <c r="J3" i="14" s="1"/>
  <c r="K3" i="14" s="1"/>
  <c r="I276" i="14"/>
  <c r="J276" i="14" s="1"/>
  <c r="K276" i="14" s="1"/>
  <c r="I107" i="14"/>
  <c r="J107" i="14" s="1"/>
  <c r="K107" i="14" s="1"/>
  <c r="I61" i="14"/>
  <c r="J61" i="14" s="1"/>
  <c r="K61" i="14" s="1"/>
  <c r="I23" i="14"/>
  <c r="J23" i="14" s="1"/>
  <c r="K23" i="14" s="1"/>
  <c r="I149" i="14"/>
  <c r="J149" i="14" s="1"/>
  <c r="K149" i="14" s="1"/>
  <c r="I166" i="14"/>
  <c r="J166" i="14" s="1"/>
  <c r="K166" i="14" s="1"/>
  <c r="I298" i="14"/>
  <c r="J298" i="14" s="1"/>
  <c r="K298" i="14" s="1"/>
  <c r="I92" i="14"/>
  <c r="J92" i="14" s="1"/>
  <c r="K92" i="14" s="1"/>
  <c r="I148" i="14"/>
  <c r="J148" i="14" s="1"/>
  <c r="K148" i="14" s="1"/>
  <c r="I116" i="14"/>
  <c r="J116" i="14" s="1"/>
  <c r="K116" i="14" s="1"/>
  <c r="I45" i="14"/>
  <c r="J45" i="14" s="1"/>
  <c r="K45" i="14" s="1"/>
  <c r="I83" i="14"/>
  <c r="J83" i="14" s="1"/>
  <c r="K83" i="14" s="1"/>
  <c r="I142" i="14"/>
  <c r="J142" i="14" s="1"/>
  <c r="K142" i="14" s="1"/>
  <c r="I147" i="14"/>
  <c r="J147" i="14" s="1"/>
  <c r="K147" i="14" s="1"/>
  <c r="I157" i="14"/>
  <c r="I180" i="14"/>
  <c r="J180" i="14" s="1"/>
  <c r="K180" i="14" s="1"/>
  <c r="I281" i="14"/>
  <c r="J281" i="14" s="1"/>
  <c r="K281" i="14" s="1"/>
  <c r="I236" i="14"/>
  <c r="J236" i="14" s="1"/>
  <c r="K236" i="14" s="1"/>
  <c r="I128" i="14"/>
  <c r="J128" i="14" s="1"/>
  <c r="K128" i="14" s="1"/>
  <c r="I187" i="14"/>
  <c r="J187" i="14" s="1"/>
  <c r="K187" i="14" s="1"/>
  <c r="I200" i="14"/>
  <c r="J200" i="14" s="1"/>
  <c r="K200" i="14" s="1"/>
  <c r="I134" i="14"/>
  <c r="J134" i="14" s="1"/>
  <c r="K134" i="14" s="1"/>
  <c r="I104" i="14"/>
  <c r="J104" i="14" s="1"/>
  <c r="K104" i="14" s="1"/>
  <c r="I10" i="14"/>
  <c r="J10" i="14" s="1"/>
  <c r="K10" i="14" s="1"/>
  <c r="I85" i="14"/>
  <c r="J85" i="14" s="1"/>
  <c r="K85" i="14" s="1"/>
  <c r="I248" i="14"/>
  <c r="J248" i="14" s="1"/>
  <c r="K248" i="14" s="1"/>
  <c r="I18" i="14"/>
  <c r="J18" i="14" s="1"/>
  <c r="K18" i="14" s="1"/>
  <c r="I111" i="14"/>
  <c r="J111" i="14" s="1"/>
  <c r="K111" i="14" s="1"/>
  <c r="I158" i="14"/>
  <c r="J158" i="14" s="1"/>
  <c r="K158" i="14" s="1"/>
  <c r="I47" i="14"/>
  <c r="J47" i="14" s="1"/>
  <c r="K47" i="14" s="1"/>
  <c r="I106" i="14"/>
  <c r="J106" i="14" s="1"/>
  <c r="K106" i="14" s="1"/>
  <c r="I151" i="14"/>
  <c r="J151" i="14" s="1"/>
  <c r="K151" i="14" s="1"/>
  <c r="I15" i="14"/>
  <c r="J15" i="14" s="1"/>
  <c r="K15" i="14" s="1"/>
  <c r="I46" i="14"/>
  <c r="J46" i="14" s="1"/>
  <c r="K46" i="14" s="1"/>
  <c r="I256" i="14"/>
  <c r="J256" i="14" s="1"/>
  <c r="K256" i="14" s="1"/>
  <c r="I119" i="14"/>
  <c r="J119" i="14" s="1"/>
  <c r="K119" i="14" s="1"/>
  <c r="I123" i="14"/>
  <c r="J123" i="14" s="1"/>
  <c r="K123" i="14" s="1"/>
  <c r="I101" i="14"/>
  <c r="J101" i="14" s="1"/>
  <c r="K101" i="14" s="1"/>
  <c r="I314" i="14"/>
  <c r="I62" i="14"/>
  <c r="J62" i="14" s="1"/>
  <c r="K62" i="14" s="1"/>
  <c r="I186" i="14"/>
  <c r="J186" i="14" s="1"/>
  <c r="K186" i="14" s="1"/>
  <c r="I313" i="14"/>
  <c r="J313" i="14" s="1"/>
  <c r="K313" i="14" s="1"/>
  <c r="I117" i="14"/>
  <c r="J117" i="14" s="1"/>
  <c r="K117" i="14" s="1"/>
  <c r="I82" i="14"/>
  <c r="J82" i="14" s="1"/>
  <c r="K82" i="14" s="1"/>
  <c r="I212" i="14"/>
  <c r="J212" i="14" s="1"/>
  <c r="K212" i="14" s="1"/>
  <c r="I16" i="14"/>
  <c r="J16" i="14" s="1"/>
  <c r="K16" i="14" s="1"/>
  <c r="I279" i="14"/>
  <c r="J279" i="14" s="1"/>
  <c r="K279" i="14" s="1"/>
  <c r="I108" i="14"/>
  <c r="J108" i="14" s="1"/>
  <c r="K108" i="14" s="1"/>
  <c r="I224" i="14"/>
  <c r="J224" i="14" s="1"/>
  <c r="K224" i="14" s="1"/>
  <c r="I252" i="14"/>
  <c r="J252" i="14" s="1"/>
  <c r="K252" i="14" s="1"/>
  <c r="I290" i="14"/>
  <c r="J290" i="14" s="1"/>
  <c r="K290" i="14" s="1"/>
  <c r="I260" i="14"/>
  <c r="J260" i="14" s="1"/>
  <c r="K260" i="14" s="1"/>
  <c r="I120" i="14"/>
  <c r="J120" i="14" s="1"/>
  <c r="K120" i="14" s="1"/>
  <c r="I168" i="14"/>
  <c r="J168" i="14" s="1"/>
  <c r="K168" i="14" s="1"/>
  <c r="I220" i="14"/>
  <c r="J220" i="14" s="1"/>
  <c r="K220" i="14" s="1"/>
  <c r="I209" i="14"/>
  <c r="J209" i="14" s="1"/>
  <c r="K209" i="14" s="1"/>
  <c r="I193" i="14"/>
  <c r="J193" i="14" s="1"/>
  <c r="K193" i="14" s="1"/>
  <c r="I226" i="14"/>
  <c r="J226" i="14" s="1"/>
  <c r="K226" i="14" s="1"/>
  <c r="I129" i="14"/>
  <c r="J129" i="14" s="1"/>
  <c r="K129" i="14" s="1"/>
  <c r="I285" i="14"/>
  <c r="J285" i="14" s="1"/>
  <c r="K285" i="14" s="1"/>
  <c r="I12" i="14"/>
  <c r="J12" i="14" s="1"/>
  <c r="K12" i="14" s="1"/>
  <c r="I206" i="14"/>
  <c r="J206" i="14" s="1"/>
  <c r="K206" i="14" s="1"/>
  <c r="I245" i="14"/>
  <c r="J245" i="14" s="1"/>
  <c r="K245" i="14" s="1"/>
  <c r="I136" i="14"/>
  <c r="J136" i="14" s="1"/>
  <c r="K136" i="14" s="1"/>
  <c r="I110" i="14"/>
  <c r="J110" i="14" s="1"/>
  <c r="K110" i="14" s="1"/>
  <c r="I112" i="14"/>
  <c r="J112" i="14" s="1"/>
  <c r="K112" i="14" s="1"/>
  <c r="I145" i="14"/>
  <c r="J145" i="14" s="1"/>
  <c r="K145" i="14" s="1"/>
  <c r="I19" i="14"/>
  <c r="J19" i="14" s="1"/>
  <c r="K19" i="14" s="1"/>
  <c r="I238" i="14"/>
  <c r="J238" i="14" s="1"/>
  <c r="K238" i="14" s="1"/>
  <c r="I266" i="14"/>
  <c r="J266" i="14" s="1"/>
  <c r="K266" i="14" s="1"/>
  <c r="I198" i="14"/>
  <c r="J198" i="14" s="1"/>
  <c r="K198" i="14" s="1"/>
  <c r="I161" i="14"/>
  <c r="J161" i="14" s="1"/>
  <c r="K161" i="14" s="1"/>
  <c r="I155" i="14"/>
  <c r="J155" i="14" s="1"/>
  <c r="K155" i="14" s="1"/>
  <c r="I32" i="14"/>
  <c r="J32" i="14" s="1"/>
  <c r="K32" i="14" s="1"/>
  <c r="I121" i="14"/>
  <c r="J121" i="14" s="1"/>
  <c r="K121" i="14" s="1"/>
  <c r="I306" i="14"/>
  <c r="J306" i="14" s="1"/>
  <c r="K306" i="14" s="1"/>
  <c r="I100" i="14"/>
  <c r="J100" i="14" s="1"/>
  <c r="K100" i="14" s="1"/>
  <c r="I303" i="14"/>
  <c r="J303" i="14" s="1"/>
  <c r="K303" i="14" s="1"/>
  <c r="I239" i="14"/>
  <c r="J239" i="14" s="1"/>
  <c r="K239" i="14" s="1"/>
  <c r="I287" i="14"/>
  <c r="J287" i="14" s="1"/>
  <c r="K287" i="14" s="1"/>
  <c r="I172" i="14"/>
  <c r="J172" i="14" s="1"/>
  <c r="K172" i="14" s="1"/>
  <c r="I152" i="14"/>
  <c r="J152" i="14" s="1"/>
  <c r="K152" i="14" s="1"/>
  <c r="I141" i="14"/>
  <c r="J141" i="14" s="1"/>
  <c r="K141" i="14" s="1"/>
  <c r="I271" i="14"/>
  <c r="J271" i="14" s="1"/>
  <c r="K271" i="14" s="1"/>
  <c r="I114" i="14"/>
  <c r="J114" i="14" s="1"/>
  <c r="K114" i="14" s="1"/>
  <c r="I103" i="14"/>
  <c r="J103" i="14" s="1"/>
  <c r="K103" i="14" s="1"/>
  <c r="I305" i="14"/>
  <c r="J305" i="14" s="1"/>
  <c r="K305" i="14" s="1"/>
  <c r="I194" i="14"/>
  <c r="J194" i="14" s="1"/>
  <c r="K194" i="14" s="1"/>
  <c r="I202" i="14"/>
  <c r="J202" i="14" s="1"/>
  <c r="K202" i="14" s="1"/>
  <c r="I243" i="14"/>
  <c r="J243" i="14" s="1"/>
  <c r="K243" i="14" s="1"/>
  <c r="I286" i="14"/>
  <c r="J286" i="14" s="1"/>
  <c r="K286" i="14" s="1"/>
  <c r="W7" i="4" l="1"/>
  <c r="W9" i="4"/>
</calcChain>
</file>

<file path=xl/sharedStrings.xml><?xml version="1.0" encoding="utf-8"?>
<sst xmlns="http://schemas.openxmlformats.org/spreadsheetml/2006/main" count="3103" uniqueCount="159">
  <si>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</si>
  <si>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</si>
  <si>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</si>
  <si>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</si>
  <si>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</si>
  <si>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</si>
  <si>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</si>
  <si>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</si>
  <si>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</si>
  <si>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</si>
  <si>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</si>
  <si>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</si>
  <si>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</si>
  <si>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</si>
  <si>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</si>
  <si>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</si>
  <si>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</si>
  <si>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</si>
  <si>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</si>
  <si>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</si>
  <si>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</si>
  <si>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</si>
  <si>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</si>
  <si>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</si>
  <si>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</si>
  <si>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</si>
  <si>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</si>
  <si>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</si>
  <si>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</si>
  <si>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</si>
  <si>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</si>
  <si>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</si>
  <si>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</si>
  <si>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</si>
  <si>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</si>
  <si>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</si>
  <si>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</si>
  <si>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</si>
  <si>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</si>
  <si>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</si>
  <si>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</si>
  <si>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</si>
  <si>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</si>
  <si>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</si>
  <si>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</si>
  <si>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</si>
  <si>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</si>
  <si>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</si>
  <si>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</si>
  <si>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</si>
  <si>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</si>
  <si>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</si>
  <si>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</si>
  <si>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</si>
  <si>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</si>
  <si>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</si>
  <si>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</si>
  <si>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</si>
  <si>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</si>
  <si>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</si>
  <si>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</si>
  <si>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</si>
  <si>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</si>
  <si>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</si>
  <si>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</si>
  <si>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</si>
  <si>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</si>
  <si>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</si>
  <si>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</si>
  <si>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</si>
  <si>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</si>
  <si>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</si>
  <si>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</si>
  <si>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</si>
  <si>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</si>
  <si>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</si>
  <si>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</si>
  <si>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</si>
  <si>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</si>
  <si>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</si>
  <si>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</si>
  <si>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</si>
  <si>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</si>
  <si>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</si>
  <si>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</si>
  <si>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</si>
  <si>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</si>
  <si>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</si>
  <si>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</si>
  <si>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</si>
  <si>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</si>
  <si>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</si>
  <si>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</si>
  <si>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</si>
  <si>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</si>
  <si>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</si>
  <si>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</si>
  <si>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</si>
  <si>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</si>
  <si>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</si>
  <si>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</si>
  <si>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</si>
  <si>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</si>
  <si>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</si>
  <si>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</si>
  <si>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</si>
  <si>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</si>
  <si>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</si>
  <si>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</si>
  <si>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</si>
  <si>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</si>
  <si>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</si>
  <si>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</si>
  <si>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</si>
  <si>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</si>
  <si>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</si>
  <si>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</si>
  <si>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</si>
  <si>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Median :</t>
  </si>
  <si>
    <t>Mean:</t>
  </si>
  <si>
    <t>region_West</t>
  </si>
  <si>
    <t>region_North</t>
  </si>
  <si>
    <t>region_South</t>
  </si>
  <si>
    <t>store_type_HighStreet</t>
  </si>
  <si>
    <t>store_type_Airport</t>
  </si>
  <si>
    <t>store_type_Mall</t>
  </si>
  <si>
    <t>Dummy Variable Columns</t>
  </si>
  <si>
    <t>Color Legend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</si>
  <si>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</si>
  <si>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</si>
  <si>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</si>
  <si>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</si>
  <si>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</si>
  <si>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</si>
  <si>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</si>
  <si>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</si>
  <si>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</si>
  <si>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</si>
  <si>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</si>
  <si>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</si>
  <si>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</si>
  <si>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</si>
  <si>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</si>
  <si>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</si>
  <si>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</si>
  <si>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</si>
  <si>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</si>
  <si>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</si>
  <si>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</si>
  <si>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</si>
  <si>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</si>
  <si>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</si>
  <si>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</si>
  <si>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</si>
  <si>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monthly_sales</t>
  </si>
  <si>
    <t>Residuals</t>
  </si>
  <si>
    <t>predicted_sales</t>
  </si>
  <si>
    <t>residual</t>
  </si>
  <si>
    <t>residual_type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</si>
</sst>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7" formatCode="0.0"/>
  </numFmts>
  <fonts count="6"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11"/>
      <color rgb="FFFF0000"/>
      <name val="Carlito"/>
    </font>
    <font>
      <b/>
      <sz val="11"/>
      <color theme="0"/>
      <name val="Carlito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1" fillId="0" borderId="0" xfId="1"/>
    <xf numFmtId="164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0" fontId="1" fillId="0" borderId="0" xfId="1" applyAlignment="1">
      <alignment wrapText="1"/>
    </xf>
    <xf numFmtId="0" fontId="1" fillId="0" borderId="1" xfId="1" applyBorder="1"/>
    <xf numFmtId="2" fontId="1" fillId="0" borderId="1" xfId="1" applyNumberFormat="1" applyBorder="1"/>
    <xf numFmtId="167" fontId="1" fillId="0" borderId="1" xfId="1" applyNumberFormat="1" applyBorder="1"/>
    <xf numFmtId="0" fontId="4" fillId="2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1" fillId="0" borderId="0" xfId="1" applyFont="1" applyFill="1" applyAlignment="1">
      <alignment horizontal="center" vertic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5" fillId="0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Continuous"/>
    </xf>
    <xf numFmtId="0" fontId="0" fillId="0" borderId="0" xfId="0" applyAlignment="1">
      <alignment horizontal="center" wrapText="1"/>
    </xf>
  </cellXfs>
  <cellStyles count="2">
    <cellStyle name="Normal" xfId="0" builtinId="0"/>
    <cellStyle name="Normal 2" xfId="1" xr:uid="{8A03CEA9-1C05-4644-8E74-9C58D3356E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30AB-C51D-4C99-841F-43C1070B7AFA}">
  <dimension ref="A1:W321"/>
  <sheetViews>
    <sheetView tabSelected="1" topLeftCell="J1" workbookViewId="0">
      <selection activeCell="T3" sqref="T3"/>
    </sheetView>
  </sheetViews>
  <sheetFormatPr defaultRowHeight="14.4"/>
  <cols>
    <col min="1" max="1" width="17.77734375" style="3" customWidth="1"/>
    <col min="2" max="12" width="17.77734375" style="5" customWidth="1"/>
    <col min="13" max="13" width="18.21875" style="12" customWidth="1"/>
    <col min="14" max="14" width="15.33203125" style="12" customWidth="1"/>
    <col min="15" max="15" width="18.109375" style="12" customWidth="1"/>
    <col min="16" max="16" width="23.77734375" style="12" customWidth="1"/>
    <col min="17" max="17" width="23.109375" style="12" customWidth="1"/>
    <col min="18" max="18" width="24.33203125" style="12" customWidth="1"/>
    <col min="19" max="20" width="8.88671875" style="3"/>
    <col min="21" max="21" width="27.33203125" style="3" customWidth="1"/>
    <col min="22" max="16384" width="8.88671875" style="3"/>
  </cols>
  <sheetData>
    <row r="1" spans="1:23" ht="31.2" customHeight="1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0" t="s">
        <v>11</v>
      </c>
      <c r="K1" s="1" t="s">
        <v>12</v>
      </c>
      <c r="L1" s="1" t="s">
        <v>13</v>
      </c>
      <c r="M1" s="11" t="s">
        <v>120</v>
      </c>
      <c r="N1" s="11" t="s">
        <v>121</v>
      </c>
      <c r="O1" s="11" t="s">
        <v>122</v>
      </c>
      <c r="P1" s="11" t="s">
        <v>124</v>
      </c>
      <c r="Q1" s="11" t="s">
        <v>123</v>
      </c>
      <c r="R1" s="11" t="s">
        <v>125</v>
      </c>
    </row>
    <row r="2" spans="1:23">
      <c r="A2" s="3" t="s">
        <v>14</v>
      </c>
      <c r="B2" s="4">
        <v>45658</v>
      </c>
      <c r="C2" s="5">
        <v>70389.11</v>
      </c>
      <c r="D2" s="5">
        <v>8302</v>
      </c>
      <c r="E2" s="5">
        <v>4.2000000000000003E-2</v>
      </c>
      <c r="F2" s="5">
        <v>17</v>
      </c>
      <c r="G2" s="5">
        <v>75</v>
      </c>
      <c r="H2" s="5">
        <v>5.28</v>
      </c>
      <c r="I2" s="5">
        <v>1</v>
      </c>
      <c r="J2" s="5">
        <v>3.1</v>
      </c>
      <c r="K2" s="5">
        <v>658832.62</v>
      </c>
      <c r="L2" s="5">
        <v>84349.93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</row>
    <row r="3" spans="1:23">
      <c r="A3" s="3" t="s">
        <v>14</v>
      </c>
      <c r="B3" s="4">
        <v>45689</v>
      </c>
      <c r="C3" s="5">
        <v>43827.89</v>
      </c>
      <c r="D3" s="5">
        <v>8487</v>
      </c>
      <c r="E3" s="5">
        <v>0.16800000000000001</v>
      </c>
      <c r="F3" s="5">
        <v>23</v>
      </c>
      <c r="G3" s="5">
        <v>84.4</v>
      </c>
      <c r="H3" s="5">
        <v>4.3099999999999996</v>
      </c>
      <c r="I3" s="5">
        <v>0</v>
      </c>
      <c r="J3" s="5">
        <v>2.8</v>
      </c>
      <c r="K3" s="5">
        <v>634436</v>
      </c>
      <c r="L3" s="5">
        <v>106130.54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</row>
    <row r="4" spans="1:23">
      <c r="A4" s="3" t="s">
        <v>14</v>
      </c>
      <c r="B4" s="4">
        <v>45717</v>
      </c>
      <c r="C4" s="5">
        <v>59921.75</v>
      </c>
      <c r="D4" s="5">
        <v>9113</v>
      </c>
      <c r="E4" s="5">
        <v>0.13300000000000001</v>
      </c>
      <c r="F4" s="5">
        <v>20</v>
      </c>
      <c r="G4" s="5">
        <v>88</v>
      </c>
      <c r="H4" s="5">
        <v>12</v>
      </c>
      <c r="I4" s="5">
        <v>0</v>
      </c>
      <c r="J4" s="5">
        <v>3.2</v>
      </c>
      <c r="K4" s="5">
        <v>678722.06</v>
      </c>
      <c r="L4" s="5">
        <v>101883.86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</row>
    <row r="5" spans="1:23">
      <c r="A5" s="3" t="s">
        <v>14</v>
      </c>
      <c r="B5" s="4">
        <v>45748</v>
      </c>
      <c r="C5" s="5">
        <v>56856.63</v>
      </c>
      <c r="D5" s="5">
        <v>9431</v>
      </c>
      <c r="E5" s="5">
        <v>0.14199999999999999</v>
      </c>
      <c r="F5" s="5">
        <v>23</v>
      </c>
      <c r="G5" s="5">
        <v>86.9</v>
      </c>
      <c r="H5" s="5">
        <v>4.97</v>
      </c>
      <c r="I5" s="5">
        <v>0</v>
      </c>
      <c r="J5" s="5">
        <v>3.4</v>
      </c>
      <c r="K5" s="5">
        <v>658920.30000000005</v>
      </c>
      <c r="L5" s="5">
        <v>97910.37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</row>
    <row r="6" spans="1:23">
      <c r="A6" s="3" t="s">
        <v>17</v>
      </c>
      <c r="B6" s="4">
        <v>45658</v>
      </c>
      <c r="C6" s="5">
        <v>48412.639999999999</v>
      </c>
      <c r="D6" s="5">
        <v>9545</v>
      </c>
      <c r="E6" s="5">
        <v>0.23100000000000001</v>
      </c>
      <c r="F6" s="5">
        <v>21</v>
      </c>
      <c r="G6" s="5">
        <v>97.6</v>
      </c>
      <c r="H6" s="5">
        <v>6.94</v>
      </c>
      <c r="I6" s="5">
        <v>1</v>
      </c>
      <c r="J6" s="5">
        <v>4.2</v>
      </c>
      <c r="K6" s="5">
        <v>741341.44</v>
      </c>
      <c r="L6" s="5">
        <v>119208.17</v>
      </c>
      <c r="M6" s="12">
        <v>0</v>
      </c>
      <c r="N6" s="12">
        <v>0</v>
      </c>
      <c r="O6" s="12">
        <v>0</v>
      </c>
      <c r="P6" s="12">
        <v>0</v>
      </c>
      <c r="Q6" s="12">
        <v>1</v>
      </c>
      <c r="R6" s="12">
        <v>0</v>
      </c>
    </row>
    <row r="7" spans="1:23">
      <c r="A7" s="3" t="s">
        <v>17</v>
      </c>
      <c r="B7" s="4">
        <v>45689</v>
      </c>
      <c r="C7" s="5">
        <v>64811.21</v>
      </c>
      <c r="D7" s="5">
        <v>9792</v>
      </c>
      <c r="E7" s="5">
        <v>0.112</v>
      </c>
      <c r="F7" s="5">
        <v>20</v>
      </c>
      <c r="G7" s="5">
        <v>84.2</v>
      </c>
      <c r="H7" s="5">
        <v>2.88</v>
      </c>
      <c r="I7" s="5">
        <v>0</v>
      </c>
      <c r="J7" s="5">
        <v>4.2</v>
      </c>
      <c r="K7" s="5">
        <v>761835.34</v>
      </c>
      <c r="L7" s="5">
        <v>149602.23000000001</v>
      </c>
      <c r="M7" s="12">
        <v>0</v>
      </c>
      <c r="N7" s="12">
        <v>0</v>
      </c>
      <c r="O7" s="12">
        <v>0</v>
      </c>
      <c r="P7" s="12">
        <v>0</v>
      </c>
      <c r="Q7" s="12">
        <v>1</v>
      </c>
      <c r="R7" s="12">
        <v>0</v>
      </c>
      <c r="U7" s="7" t="s">
        <v>9</v>
      </c>
      <c r="V7" s="7" t="s">
        <v>118</v>
      </c>
      <c r="W7" s="8">
        <f>MEDIAN(H2:H321)</f>
        <v>3.37</v>
      </c>
    </row>
    <row r="8" spans="1:23">
      <c r="A8" s="3" t="s">
        <v>17</v>
      </c>
      <c r="B8" s="4">
        <v>45717</v>
      </c>
      <c r="C8" s="5">
        <v>46213.45</v>
      </c>
      <c r="D8" s="5">
        <v>10616</v>
      </c>
      <c r="E8" s="5">
        <v>0.122</v>
      </c>
      <c r="F8" s="5">
        <v>22</v>
      </c>
      <c r="G8" s="5">
        <v>85.2</v>
      </c>
      <c r="H8" s="5">
        <v>0.2</v>
      </c>
      <c r="I8" s="5">
        <v>1</v>
      </c>
      <c r="J8" s="5">
        <v>4.0999999999999996</v>
      </c>
      <c r="K8" s="5">
        <v>806615.54</v>
      </c>
      <c r="L8" s="5">
        <v>131364.62</v>
      </c>
      <c r="M8" s="12">
        <v>0</v>
      </c>
      <c r="N8" s="12">
        <v>0</v>
      </c>
      <c r="O8" s="12">
        <v>0</v>
      </c>
      <c r="P8" s="12">
        <v>0</v>
      </c>
      <c r="Q8" s="12">
        <v>1</v>
      </c>
      <c r="R8" s="12">
        <v>0</v>
      </c>
    </row>
    <row r="9" spans="1:23">
      <c r="A9" s="3" t="s">
        <v>17</v>
      </c>
      <c r="B9" s="4">
        <v>45748</v>
      </c>
      <c r="C9" s="5">
        <v>68148.52</v>
      </c>
      <c r="D9" s="5">
        <v>8567</v>
      </c>
      <c r="E9" s="5">
        <v>0.127</v>
      </c>
      <c r="F9" s="5">
        <v>23</v>
      </c>
      <c r="G9" s="5">
        <v>95.6</v>
      </c>
      <c r="H9" s="5">
        <v>0.8</v>
      </c>
      <c r="I9" s="5">
        <v>0</v>
      </c>
      <c r="J9" s="5">
        <v>3.9</v>
      </c>
      <c r="K9" s="5">
        <v>850164.26</v>
      </c>
      <c r="L9" s="5">
        <v>149262.75</v>
      </c>
      <c r="M9" s="12">
        <v>0</v>
      </c>
      <c r="N9" s="12">
        <v>0</v>
      </c>
      <c r="O9" s="12">
        <v>0</v>
      </c>
      <c r="P9" s="12">
        <v>0</v>
      </c>
      <c r="Q9" s="12">
        <v>1</v>
      </c>
      <c r="R9" s="12">
        <v>0</v>
      </c>
      <c r="U9" s="7" t="s">
        <v>11</v>
      </c>
      <c r="V9" s="7" t="s">
        <v>119</v>
      </c>
      <c r="W9" s="9">
        <f>AVERAGE(J2:J321)</f>
        <v>3.9240625000000007</v>
      </c>
    </row>
    <row r="10" spans="1:23">
      <c r="A10" s="3" t="s">
        <v>19</v>
      </c>
      <c r="B10" s="4">
        <v>45658</v>
      </c>
      <c r="C10" s="5">
        <v>71838.86</v>
      </c>
      <c r="D10" s="5">
        <v>10979</v>
      </c>
      <c r="E10" s="5">
        <v>0.215</v>
      </c>
      <c r="F10" s="5">
        <v>26</v>
      </c>
      <c r="G10" s="5">
        <v>88.6</v>
      </c>
      <c r="H10" s="5">
        <v>7.7</v>
      </c>
      <c r="I10" s="5">
        <v>1</v>
      </c>
      <c r="J10" s="5">
        <v>3.8</v>
      </c>
      <c r="K10" s="5">
        <v>930581.7</v>
      </c>
      <c r="L10" s="5">
        <v>136207.98000000001</v>
      </c>
      <c r="M10" s="12">
        <v>0</v>
      </c>
      <c r="N10" s="12">
        <v>1</v>
      </c>
      <c r="O10" s="12">
        <v>0</v>
      </c>
      <c r="P10" s="12">
        <v>1</v>
      </c>
      <c r="Q10" s="12">
        <v>0</v>
      </c>
      <c r="R10" s="12">
        <v>0</v>
      </c>
    </row>
    <row r="11" spans="1:23">
      <c r="A11" s="3" t="s">
        <v>19</v>
      </c>
      <c r="B11" s="4">
        <v>45689</v>
      </c>
      <c r="C11" s="5">
        <v>68133.440000000002</v>
      </c>
      <c r="D11" s="5">
        <v>9459</v>
      </c>
      <c r="E11" s="5">
        <v>0.22</v>
      </c>
      <c r="F11" s="5">
        <v>21</v>
      </c>
      <c r="G11" s="5">
        <v>85</v>
      </c>
      <c r="H11" s="5">
        <v>1.91</v>
      </c>
      <c r="I11" s="5">
        <v>0</v>
      </c>
      <c r="J11" s="5">
        <v>4.2</v>
      </c>
      <c r="K11" s="5">
        <v>779010.94</v>
      </c>
      <c r="L11" s="5">
        <v>106328.09</v>
      </c>
      <c r="M11" s="12">
        <v>0</v>
      </c>
      <c r="N11" s="12">
        <v>1</v>
      </c>
      <c r="O11" s="12">
        <v>0</v>
      </c>
      <c r="P11" s="12">
        <v>1</v>
      </c>
      <c r="Q11" s="12">
        <v>0</v>
      </c>
      <c r="R11" s="12">
        <v>0</v>
      </c>
    </row>
    <row r="12" spans="1:23">
      <c r="A12" s="3" t="s">
        <v>19</v>
      </c>
      <c r="B12" s="4">
        <v>45717</v>
      </c>
      <c r="C12" s="5">
        <v>34285.21</v>
      </c>
      <c r="D12" s="5">
        <v>9172</v>
      </c>
      <c r="E12" s="5">
        <v>0.21299999999999999</v>
      </c>
      <c r="F12" s="5">
        <v>22</v>
      </c>
      <c r="G12" s="5">
        <v>88.3</v>
      </c>
      <c r="H12" s="5">
        <v>10.46</v>
      </c>
      <c r="I12" s="5">
        <v>1</v>
      </c>
      <c r="J12" s="5">
        <v>3.8</v>
      </c>
      <c r="K12" s="5">
        <v>723060.76</v>
      </c>
      <c r="L12" s="5">
        <v>123131.24</v>
      </c>
      <c r="M12" s="12">
        <v>0</v>
      </c>
      <c r="N12" s="12">
        <v>1</v>
      </c>
      <c r="O12" s="12">
        <v>0</v>
      </c>
      <c r="P12" s="12">
        <v>1</v>
      </c>
      <c r="Q12" s="12">
        <v>0</v>
      </c>
      <c r="R12" s="12">
        <v>0</v>
      </c>
    </row>
    <row r="13" spans="1:23">
      <c r="A13" s="3" t="s">
        <v>19</v>
      </c>
      <c r="B13" s="4">
        <v>45748</v>
      </c>
      <c r="C13" s="5">
        <v>67979.88</v>
      </c>
      <c r="D13" s="5">
        <v>11230</v>
      </c>
      <c r="E13" s="5">
        <v>2E-3</v>
      </c>
      <c r="F13" s="5">
        <v>28</v>
      </c>
      <c r="G13" s="5">
        <v>85.3</v>
      </c>
      <c r="H13" s="5">
        <v>7.16</v>
      </c>
      <c r="I13" s="5">
        <v>0</v>
      </c>
      <c r="J13" s="5">
        <v>3.8</v>
      </c>
      <c r="K13" s="5">
        <v>910791.94</v>
      </c>
      <c r="L13" s="5">
        <v>158891.28</v>
      </c>
      <c r="M13" s="12">
        <v>0</v>
      </c>
      <c r="N13" s="12">
        <v>1</v>
      </c>
      <c r="O13" s="12">
        <v>0</v>
      </c>
      <c r="P13" s="12">
        <v>1</v>
      </c>
      <c r="Q13" s="12">
        <v>0</v>
      </c>
      <c r="R13" s="12">
        <v>0</v>
      </c>
    </row>
    <row r="14" spans="1:23">
      <c r="A14" s="3" t="s">
        <v>22</v>
      </c>
      <c r="B14" s="4">
        <v>45658</v>
      </c>
      <c r="C14" s="5">
        <v>71828.259999999995</v>
      </c>
      <c r="D14" s="5">
        <v>12775</v>
      </c>
      <c r="E14" s="5">
        <v>0.11600000000000001</v>
      </c>
      <c r="F14" s="5">
        <v>30</v>
      </c>
      <c r="G14" s="5">
        <v>81.7</v>
      </c>
      <c r="H14" s="5">
        <v>4.24</v>
      </c>
      <c r="I14" s="5">
        <v>1</v>
      </c>
      <c r="J14" s="5">
        <v>4.2</v>
      </c>
      <c r="K14" s="5">
        <v>922168.6</v>
      </c>
      <c r="L14" s="5">
        <v>107494.53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</row>
    <row r="15" spans="1:23">
      <c r="A15" s="3" t="s">
        <v>22</v>
      </c>
      <c r="B15" s="4">
        <v>45689</v>
      </c>
      <c r="C15" s="5">
        <v>55716.82</v>
      </c>
      <c r="D15" s="5">
        <v>10054</v>
      </c>
      <c r="E15" s="5">
        <v>0.14599999999999999</v>
      </c>
      <c r="F15" s="5">
        <v>24</v>
      </c>
      <c r="G15" s="5">
        <v>84.9</v>
      </c>
      <c r="H15" s="5">
        <v>1.06</v>
      </c>
      <c r="I15" s="5">
        <v>0</v>
      </c>
      <c r="J15" s="5">
        <v>4.3</v>
      </c>
      <c r="K15" s="5">
        <v>726606.28</v>
      </c>
      <c r="L15" s="5">
        <v>122729.29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</row>
    <row r="16" spans="1:23">
      <c r="A16" s="3" t="s">
        <v>22</v>
      </c>
      <c r="B16" s="4">
        <v>45717</v>
      </c>
      <c r="C16" s="5">
        <v>59909.51</v>
      </c>
      <c r="D16" s="5">
        <v>8895</v>
      </c>
      <c r="E16" s="5">
        <v>0.22800000000000001</v>
      </c>
      <c r="F16" s="5">
        <v>23</v>
      </c>
      <c r="G16" s="5">
        <v>88.8</v>
      </c>
      <c r="H16" s="5">
        <v>0.27</v>
      </c>
      <c r="I16" s="5">
        <v>0</v>
      </c>
      <c r="J16" s="5">
        <v>4.3</v>
      </c>
      <c r="K16" s="5">
        <v>746501.09</v>
      </c>
      <c r="L16" s="5">
        <v>136816.72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</row>
    <row r="17" spans="1:18">
      <c r="A17" s="3" t="s">
        <v>22</v>
      </c>
      <c r="B17" s="4">
        <v>45748</v>
      </c>
      <c r="C17" s="5">
        <v>75305.710000000006</v>
      </c>
      <c r="D17" s="5">
        <v>10940</v>
      </c>
      <c r="E17" s="5">
        <v>6.0000000000000001E-3</v>
      </c>
      <c r="F17" s="5">
        <v>26</v>
      </c>
      <c r="G17" s="5">
        <v>76.5</v>
      </c>
      <c r="H17" s="5">
        <v>1.32</v>
      </c>
      <c r="I17" s="5">
        <v>0</v>
      </c>
      <c r="J17" s="5">
        <v>4.5</v>
      </c>
      <c r="K17" s="5">
        <v>834017.02</v>
      </c>
      <c r="L17" s="5">
        <v>114745.03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</row>
    <row r="18" spans="1:18">
      <c r="A18" s="3" t="s">
        <v>23</v>
      </c>
      <c r="B18" s="4">
        <v>45658</v>
      </c>
      <c r="C18" s="5">
        <v>48804.22</v>
      </c>
      <c r="D18" s="5">
        <v>7057</v>
      </c>
      <c r="E18" s="5">
        <v>5.0000000000000001E-3</v>
      </c>
      <c r="F18" s="5">
        <v>15</v>
      </c>
      <c r="G18" s="5">
        <v>87.7</v>
      </c>
      <c r="H18" s="5">
        <v>1.22</v>
      </c>
      <c r="I18" s="5">
        <v>0</v>
      </c>
      <c r="J18" s="5">
        <v>3.7</v>
      </c>
      <c r="K18" s="5">
        <v>666152.52</v>
      </c>
      <c r="L18" s="5">
        <v>107490.58</v>
      </c>
      <c r="M18" s="12">
        <v>0</v>
      </c>
      <c r="N18" s="12">
        <v>0</v>
      </c>
      <c r="O18" s="12">
        <v>1</v>
      </c>
      <c r="P18" s="12">
        <v>0</v>
      </c>
      <c r="Q18" s="12">
        <v>0</v>
      </c>
      <c r="R18" s="12">
        <v>0</v>
      </c>
    </row>
    <row r="19" spans="1:18">
      <c r="A19" s="3" t="s">
        <v>23</v>
      </c>
      <c r="B19" s="4">
        <v>45689</v>
      </c>
      <c r="C19" s="5">
        <v>59117.9</v>
      </c>
      <c r="D19" s="5">
        <v>4263</v>
      </c>
      <c r="E19" s="5">
        <v>0.11899999999999999</v>
      </c>
      <c r="F19" s="5">
        <v>9</v>
      </c>
      <c r="G19" s="5">
        <v>87.6</v>
      </c>
      <c r="H19" s="5">
        <v>4.01</v>
      </c>
      <c r="I19" s="5">
        <v>0</v>
      </c>
      <c r="J19" s="5">
        <v>3.6</v>
      </c>
      <c r="K19" s="5">
        <v>573155.18999999994</v>
      </c>
      <c r="L19" s="5">
        <v>83680.75</v>
      </c>
      <c r="M19" s="12">
        <v>0</v>
      </c>
      <c r="N19" s="12">
        <v>0</v>
      </c>
      <c r="O19" s="12">
        <v>1</v>
      </c>
      <c r="P19" s="12">
        <v>0</v>
      </c>
      <c r="Q19" s="12">
        <v>0</v>
      </c>
      <c r="R19" s="12">
        <v>0</v>
      </c>
    </row>
    <row r="20" spans="1:18">
      <c r="A20" s="3" t="s">
        <v>23</v>
      </c>
      <c r="B20" s="4">
        <v>45717</v>
      </c>
      <c r="C20" s="5">
        <v>78831.12</v>
      </c>
      <c r="D20" s="5">
        <v>5538</v>
      </c>
      <c r="E20" s="5">
        <v>0</v>
      </c>
      <c r="F20" s="5">
        <v>15</v>
      </c>
      <c r="G20" s="5">
        <v>94.1</v>
      </c>
      <c r="H20" s="5">
        <v>0.2</v>
      </c>
      <c r="I20" s="5">
        <v>0</v>
      </c>
      <c r="J20" s="5">
        <v>3.9</v>
      </c>
      <c r="K20" s="5">
        <v>666573.19999999995</v>
      </c>
      <c r="L20" s="5">
        <v>140641.01999999999</v>
      </c>
      <c r="M20" s="12">
        <v>0</v>
      </c>
      <c r="N20" s="12">
        <v>0</v>
      </c>
      <c r="O20" s="12">
        <v>1</v>
      </c>
      <c r="P20" s="12">
        <v>0</v>
      </c>
      <c r="Q20" s="12">
        <v>0</v>
      </c>
      <c r="R20" s="12">
        <v>0</v>
      </c>
    </row>
    <row r="21" spans="1:18">
      <c r="A21" s="3" t="s">
        <v>23</v>
      </c>
      <c r="B21" s="4">
        <v>45748</v>
      </c>
      <c r="C21" s="5">
        <v>41441.93</v>
      </c>
      <c r="D21" s="5">
        <v>4865</v>
      </c>
      <c r="E21" s="5">
        <v>0.158</v>
      </c>
      <c r="F21" s="5">
        <v>16</v>
      </c>
      <c r="G21" s="5">
        <v>88.3</v>
      </c>
      <c r="H21" s="5">
        <v>0.5</v>
      </c>
      <c r="I21" s="5">
        <v>0</v>
      </c>
      <c r="J21" s="5">
        <v>4</v>
      </c>
      <c r="K21" s="5">
        <v>591619.94999999995</v>
      </c>
      <c r="L21" s="5">
        <v>99521.35</v>
      </c>
      <c r="M21" s="12">
        <v>0</v>
      </c>
      <c r="N21" s="12">
        <v>0</v>
      </c>
      <c r="O21" s="12">
        <v>1</v>
      </c>
      <c r="P21" s="12">
        <v>0</v>
      </c>
      <c r="Q21" s="12">
        <v>0</v>
      </c>
      <c r="R21" s="12">
        <v>0</v>
      </c>
    </row>
    <row r="22" spans="1:18">
      <c r="A22" s="3" t="s">
        <v>25</v>
      </c>
      <c r="B22" s="4">
        <v>45658</v>
      </c>
      <c r="C22" s="5">
        <v>30356.28</v>
      </c>
      <c r="D22" s="5">
        <v>2822</v>
      </c>
      <c r="E22" s="5">
        <v>0.23100000000000001</v>
      </c>
      <c r="F22" s="5">
        <v>9</v>
      </c>
      <c r="G22" s="5">
        <v>84.8</v>
      </c>
      <c r="H22" s="5">
        <v>6.95</v>
      </c>
      <c r="I22" s="5">
        <v>0</v>
      </c>
      <c r="J22" s="5">
        <v>5</v>
      </c>
      <c r="K22" s="5">
        <v>415721.82</v>
      </c>
      <c r="L22" s="5">
        <v>61179.15</v>
      </c>
      <c r="M22" s="12">
        <v>0</v>
      </c>
      <c r="N22" s="12">
        <v>1</v>
      </c>
      <c r="O22" s="12">
        <v>0</v>
      </c>
      <c r="P22" s="12">
        <v>0</v>
      </c>
      <c r="Q22" s="12">
        <v>0</v>
      </c>
      <c r="R22" s="12">
        <v>0</v>
      </c>
    </row>
    <row r="23" spans="1:18">
      <c r="A23" s="3" t="s">
        <v>25</v>
      </c>
      <c r="B23" s="4">
        <v>45689</v>
      </c>
      <c r="C23" s="5">
        <v>33518.879999999997</v>
      </c>
      <c r="D23" s="5">
        <v>2121</v>
      </c>
      <c r="E23" s="5">
        <v>0.17599999999999999</v>
      </c>
      <c r="F23" s="5">
        <v>8</v>
      </c>
      <c r="G23" s="5">
        <v>88.5</v>
      </c>
      <c r="H23" s="5">
        <v>0.2</v>
      </c>
      <c r="I23" s="5">
        <v>0</v>
      </c>
      <c r="J23" s="5">
        <v>5</v>
      </c>
      <c r="K23" s="5">
        <v>491905.13</v>
      </c>
      <c r="L23" s="5">
        <v>79212.259999999995</v>
      </c>
      <c r="M23" s="12">
        <v>0</v>
      </c>
      <c r="N23" s="12">
        <v>1</v>
      </c>
      <c r="O23" s="12">
        <v>0</v>
      </c>
      <c r="P23" s="12">
        <v>0</v>
      </c>
      <c r="Q23" s="12">
        <v>0</v>
      </c>
      <c r="R23" s="12">
        <v>0</v>
      </c>
    </row>
    <row r="24" spans="1:18">
      <c r="A24" s="3" t="s">
        <v>25</v>
      </c>
      <c r="B24" s="4">
        <v>45717</v>
      </c>
      <c r="C24" s="5">
        <v>42267.37</v>
      </c>
      <c r="D24" s="5">
        <v>3364</v>
      </c>
      <c r="E24" s="5">
        <v>0.16</v>
      </c>
      <c r="F24" s="5">
        <v>13</v>
      </c>
      <c r="G24" s="5">
        <v>82</v>
      </c>
      <c r="H24" s="5">
        <v>1.61</v>
      </c>
      <c r="I24" s="5">
        <v>1</v>
      </c>
      <c r="J24" s="5">
        <v>4.5999999999999996</v>
      </c>
      <c r="K24" s="5">
        <v>555929.4</v>
      </c>
      <c r="L24" s="5">
        <v>115201.76</v>
      </c>
      <c r="M24" s="12">
        <v>0</v>
      </c>
      <c r="N24" s="12">
        <v>1</v>
      </c>
      <c r="O24" s="12">
        <v>0</v>
      </c>
      <c r="P24" s="12">
        <v>0</v>
      </c>
      <c r="Q24" s="12">
        <v>0</v>
      </c>
      <c r="R24" s="12">
        <v>0</v>
      </c>
    </row>
    <row r="25" spans="1:18">
      <c r="A25" s="3" t="s">
        <v>25</v>
      </c>
      <c r="B25" s="4">
        <v>45748</v>
      </c>
      <c r="C25" s="5">
        <v>62060.43</v>
      </c>
      <c r="D25" s="5">
        <v>2613</v>
      </c>
      <c r="E25" s="5">
        <v>0.216</v>
      </c>
      <c r="F25" s="5">
        <v>12</v>
      </c>
      <c r="G25" s="5">
        <v>92.1</v>
      </c>
      <c r="H25" s="5">
        <v>1.55</v>
      </c>
      <c r="I25" s="5">
        <v>0</v>
      </c>
      <c r="J25" s="5">
        <v>4.7</v>
      </c>
      <c r="K25" s="5">
        <v>565810.99</v>
      </c>
      <c r="L25" s="5">
        <v>77825.460000000006</v>
      </c>
      <c r="M25" s="12">
        <v>0</v>
      </c>
      <c r="N25" s="12">
        <v>1</v>
      </c>
      <c r="O25" s="12">
        <v>0</v>
      </c>
      <c r="P25" s="12">
        <v>0</v>
      </c>
      <c r="Q25" s="12">
        <v>0</v>
      </c>
      <c r="R25" s="12">
        <v>0</v>
      </c>
    </row>
    <row r="26" spans="1:18">
      <c r="A26" s="3" t="s">
        <v>26</v>
      </c>
      <c r="B26" s="4">
        <v>45658</v>
      </c>
      <c r="C26" s="5">
        <v>57696.69</v>
      </c>
      <c r="D26" s="5">
        <v>10218</v>
      </c>
      <c r="E26" s="5">
        <v>0.121</v>
      </c>
      <c r="F26" s="5">
        <v>25</v>
      </c>
      <c r="G26" s="5">
        <v>94.8</v>
      </c>
      <c r="H26" s="5">
        <v>2.99</v>
      </c>
      <c r="I26" s="5">
        <v>0</v>
      </c>
      <c r="J26" s="5">
        <v>3.5</v>
      </c>
      <c r="K26" s="5">
        <v>811771.14</v>
      </c>
      <c r="L26" s="5">
        <v>148756.24</v>
      </c>
      <c r="M26" s="12">
        <v>1</v>
      </c>
      <c r="N26" s="12">
        <v>0</v>
      </c>
      <c r="O26" s="12">
        <v>0</v>
      </c>
      <c r="P26" s="12">
        <v>0</v>
      </c>
      <c r="Q26" s="12">
        <v>0</v>
      </c>
      <c r="R26" s="12">
        <v>1</v>
      </c>
    </row>
    <row r="27" spans="1:18">
      <c r="A27" s="3" t="s">
        <v>26</v>
      </c>
      <c r="B27" s="4">
        <v>45689</v>
      </c>
      <c r="C27" s="5">
        <v>172415.52</v>
      </c>
      <c r="D27" s="5">
        <v>8927</v>
      </c>
      <c r="E27" s="5">
        <v>0.14000000000000001</v>
      </c>
      <c r="F27" s="5">
        <v>22</v>
      </c>
      <c r="G27" s="5">
        <v>86.2</v>
      </c>
      <c r="H27" s="5">
        <v>7.04</v>
      </c>
      <c r="I27" s="5">
        <v>0</v>
      </c>
      <c r="J27" s="5">
        <v>3.9</v>
      </c>
      <c r="K27" s="5">
        <v>800451.94</v>
      </c>
      <c r="L27" s="5">
        <v>111572.29</v>
      </c>
      <c r="M27" s="12">
        <v>1</v>
      </c>
      <c r="N27" s="12">
        <v>0</v>
      </c>
      <c r="O27" s="12">
        <v>0</v>
      </c>
      <c r="P27" s="12">
        <v>0</v>
      </c>
      <c r="Q27" s="12">
        <v>0</v>
      </c>
      <c r="R27" s="12">
        <v>1</v>
      </c>
    </row>
    <row r="28" spans="1:18">
      <c r="A28" s="3" t="s">
        <v>26</v>
      </c>
      <c r="B28" s="4">
        <v>45717</v>
      </c>
      <c r="C28" s="5">
        <v>55270.52</v>
      </c>
      <c r="D28" s="5">
        <v>9315</v>
      </c>
      <c r="E28" s="5">
        <v>0.16900000000000001</v>
      </c>
      <c r="F28" s="5">
        <v>23</v>
      </c>
      <c r="G28" s="5">
        <v>91.9</v>
      </c>
      <c r="H28" s="5">
        <v>4.9400000000000004</v>
      </c>
      <c r="I28" s="5">
        <v>0</v>
      </c>
      <c r="J28" s="5">
        <v>4</v>
      </c>
      <c r="K28" s="5">
        <v>783672.82</v>
      </c>
      <c r="L28" s="5">
        <v>112577.14</v>
      </c>
      <c r="M28" s="12">
        <v>1</v>
      </c>
      <c r="N28" s="12">
        <v>0</v>
      </c>
      <c r="O28" s="12">
        <v>0</v>
      </c>
      <c r="P28" s="12">
        <v>0</v>
      </c>
      <c r="Q28" s="12">
        <v>0</v>
      </c>
      <c r="R28" s="12">
        <v>1</v>
      </c>
    </row>
    <row r="29" spans="1:18">
      <c r="A29" s="3" t="s">
        <v>26</v>
      </c>
      <c r="B29" s="4">
        <v>45748</v>
      </c>
      <c r="C29" s="5">
        <v>52715.1</v>
      </c>
      <c r="D29" s="5">
        <v>7223</v>
      </c>
      <c r="E29" s="5">
        <v>0.122</v>
      </c>
      <c r="F29" s="5">
        <v>16</v>
      </c>
      <c r="G29" s="5">
        <v>84.2</v>
      </c>
      <c r="H29" s="5">
        <v>16.149999999999999</v>
      </c>
      <c r="I29" s="5">
        <v>0</v>
      </c>
      <c r="J29" s="5">
        <v>3.7</v>
      </c>
      <c r="K29" s="5">
        <v>701641.97</v>
      </c>
      <c r="L29" s="5">
        <v>106111.86</v>
      </c>
      <c r="M29" s="12">
        <v>1</v>
      </c>
      <c r="N29" s="12">
        <v>0</v>
      </c>
      <c r="O29" s="12">
        <v>0</v>
      </c>
      <c r="P29" s="12">
        <v>0</v>
      </c>
      <c r="Q29" s="12">
        <v>0</v>
      </c>
      <c r="R29" s="12">
        <v>1</v>
      </c>
    </row>
    <row r="30" spans="1:18">
      <c r="A30" s="3" t="s">
        <v>29</v>
      </c>
      <c r="B30" s="4">
        <v>45658</v>
      </c>
      <c r="C30" s="5">
        <v>68600.62</v>
      </c>
      <c r="D30" s="5">
        <v>3988</v>
      </c>
      <c r="E30" s="5">
        <v>0.124</v>
      </c>
      <c r="F30" s="5">
        <v>11</v>
      </c>
      <c r="G30" s="5">
        <v>85</v>
      </c>
      <c r="H30" s="5">
        <v>0.48</v>
      </c>
      <c r="I30" s="5">
        <v>0</v>
      </c>
      <c r="J30" s="5">
        <v>3.6</v>
      </c>
      <c r="K30" s="5">
        <v>511844.41</v>
      </c>
      <c r="L30" s="5">
        <v>72774.44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</row>
    <row r="31" spans="1:18">
      <c r="A31" s="3" t="s">
        <v>29</v>
      </c>
      <c r="B31" s="4">
        <v>45689</v>
      </c>
      <c r="C31" s="5">
        <v>63176.73</v>
      </c>
      <c r="D31" s="5">
        <v>2390</v>
      </c>
      <c r="E31" s="5">
        <v>0.216</v>
      </c>
      <c r="F31" s="5">
        <v>9</v>
      </c>
      <c r="G31" s="5">
        <v>87.5</v>
      </c>
      <c r="H31" s="5">
        <v>0.31</v>
      </c>
      <c r="I31" s="5">
        <v>0</v>
      </c>
      <c r="J31" s="5">
        <v>3.1</v>
      </c>
      <c r="K31" s="5">
        <v>537383.79</v>
      </c>
      <c r="L31" s="5">
        <v>63773.27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</row>
    <row r="32" spans="1:18">
      <c r="A32" s="3" t="s">
        <v>29</v>
      </c>
      <c r="B32" s="4">
        <v>45717</v>
      </c>
      <c r="C32" s="5">
        <v>44970.080000000002</v>
      </c>
      <c r="D32" s="5">
        <v>2471</v>
      </c>
      <c r="E32" s="5">
        <v>0.13600000000000001</v>
      </c>
      <c r="F32" s="5">
        <v>11</v>
      </c>
      <c r="G32" s="5">
        <v>87.6</v>
      </c>
      <c r="H32" s="5">
        <v>3.01</v>
      </c>
      <c r="I32" s="5">
        <v>1</v>
      </c>
      <c r="J32" s="5">
        <v>3.7</v>
      </c>
      <c r="K32" s="5">
        <v>500173.02</v>
      </c>
      <c r="L32" s="5">
        <v>70982.05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</row>
    <row r="33" spans="1:18">
      <c r="A33" s="3" t="s">
        <v>29</v>
      </c>
      <c r="B33" s="4">
        <v>45748</v>
      </c>
      <c r="C33" s="5">
        <v>69816.350000000006</v>
      </c>
      <c r="D33" s="5">
        <v>971</v>
      </c>
      <c r="E33" s="5">
        <v>0.16800000000000001</v>
      </c>
      <c r="F33" s="5">
        <v>5</v>
      </c>
      <c r="G33" s="5">
        <v>89.9</v>
      </c>
      <c r="H33" s="5">
        <v>12.15</v>
      </c>
      <c r="I33" s="5">
        <v>0</v>
      </c>
      <c r="J33" s="5">
        <v>3.6</v>
      </c>
      <c r="K33" s="5">
        <v>427917.38</v>
      </c>
      <c r="L33" s="5">
        <v>81824.31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</row>
    <row r="34" spans="1:18">
      <c r="A34" s="3" t="s">
        <v>30</v>
      </c>
      <c r="B34" s="4">
        <v>45658</v>
      </c>
      <c r="C34" s="5">
        <v>54597.83</v>
      </c>
      <c r="D34" s="5">
        <v>9429</v>
      </c>
      <c r="E34" s="5">
        <v>0.188</v>
      </c>
      <c r="F34" s="5">
        <v>21</v>
      </c>
      <c r="G34" s="5">
        <v>83.3</v>
      </c>
      <c r="H34" s="5">
        <v>11.71</v>
      </c>
      <c r="I34" s="5">
        <v>0</v>
      </c>
      <c r="J34" s="5">
        <v>4.2</v>
      </c>
      <c r="K34" s="5">
        <v>641865.03</v>
      </c>
      <c r="L34" s="5">
        <v>81342.58</v>
      </c>
      <c r="M34" s="12">
        <v>0</v>
      </c>
      <c r="N34" s="12">
        <v>1</v>
      </c>
      <c r="O34" s="12">
        <v>0</v>
      </c>
      <c r="P34" s="12">
        <v>0</v>
      </c>
      <c r="Q34" s="12">
        <v>0</v>
      </c>
      <c r="R34" s="12">
        <v>0</v>
      </c>
    </row>
    <row r="35" spans="1:18">
      <c r="A35" s="3" t="s">
        <v>30</v>
      </c>
      <c r="B35" s="4">
        <v>45689</v>
      </c>
      <c r="C35" s="5">
        <v>73771.91</v>
      </c>
      <c r="D35" s="5">
        <v>11695</v>
      </c>
      <c r="E35" s="5">
        <v>7.0000000000000007E-2</v>
      </c>
      <c r="F35" s="5">
        <v>25</v>
      </c>
      <c r="G35" s="5">
        <v>84.7</v>
      </c>
      <c r="H35" s="5">
        <v>0.62</v>
      </c>
      <c r="I35" s="5">
        <v>0</v>
      </c>
      <c r="J35" s="5">
        <v>3.9</v>
      </c>
      <c r="K35" s="5">
        <v>799477.76000000001</v>
      </c>
      <c r="L35" s="5">
        <v>164974.41</v>
      </c>
      <c r="M35" s="12">
        <v>0</v>
      </c>
      <c r="N35" s="12">
        <v>1</v>
      </c>
      <c r="O35" s="12">
        <v>0</v>
      </c>
      <c r="P35" s="12">
        <v>0</v>
      </c>
      <c r="Q35" s="12">
        <v>0</v>
      </c>
      <c r="R35" s="12">
        <v>0</v>
      </c>
    </row>
    <row r="36" spans="1:18">
      <c r="A36" s="3" t="s">
        <v>30</v>
      </c>
      <c r="B36" s="4">
        <v>45717</v>
      </c>
      <c r="C36" s="5">
        <v>74413.88</v>
      </c>
      <c r="D36" s="5">
        <v>9449</v>
      </c>
      <c r="E36" s="5">
        <v>3.9E-2</v>
      </c>
      <c r="F36" s="5">
        <v>23</v>
      </c>
      <c r="G36" s="5">
        <v>92.1</v>
      </c>
      <c r="H36" s="5">
        <v>2.12</v>
      </c>
      <c r="I36" s="5">
        <v>0</v>
      </c>
      <c r="J36" s="5">
        <v>3.5</v>
      </c>
      <c r="K36" s="5">
        <v>798952.17</v>
      </c>
      <c r="L36" s="5">
        <v>161499.04</v>
      </c>
      <c r="M36" s="12">
        <v>0</v>
      </c>
      <c r="N36" s="12">
        <v>1</v>
      </c>
      <c r="O36" s="12">
        <v>0</v>
      </c>
      <c r="P36" s="12">
        <v>0</v>
      </c>
      <c r="Q36" s="12">
        <v>0</v>
      </c>
      <c r="R36" s="12">
        <v>0</v>
      </c>
    </row>
    <row r="37" spans="1:18">
      <c r="A37" s="3" t="s">
        <v>30</v>
      </c>
      <c r="B37" s="4">
        <v>45748</v>
      </c>
      <c r="C37" s="5">
        <v>52483.77</v>
      </c>
      <c r="D37" s="5">
        <v>10453</v>
      </c>
      <c r="E37" s="5">
        <v>0.247</v>
      </c>
      <c r="F37" s="5">
        <v>25</v>
      </c>
      <c r="G37" s="5">
        <v>99</v>
      </c>
      <c r="H37" s="5">
        <v>6.31</v>
      </c>
      <c r="I37" s="5">
        <v>0</v>
      </c>
      <c r="J37" s="5">
        <v>3.6</v>
      </c>
      <c r="K37" s="5">
        <v>800979.78</v>
      </c>
      <c r="L37" s="5">
        <v>149242.26999999999</v>
      </c>
      <c r="M37" s="12">
        <v>0</v>
      </c>
      <c r="N37" s="12">
        <v>1</v>
      </c>
      <c r="O37" s="12">
        <v>0</v>
      </c>
      <c r="P37" s="12">
        <v>0</v>
      </c>
      <c r="Q37" s="12">
        <v>0</v>
      </c>
      <c r="R37" s="12">
        <v>0</v>
      </c>
    </row>
    <row r="38" spans="1:18">
      <c r="A38" s="3" t="s">
        <v>31</v>
      </c>
      <c r="B38" s="4">
        <v>45658</v>
      </c>
      <c r="C38" s="5">
        <v>75269.87</v>
      </c>
      <c r="D38" s="5">
        <v>8838</v>
      </c>
      <c r="E38" s="5">
        <v>9.1999999999999998E-2</v>
      </c>
      <c r="F38" s="5">
        <v>21</v>
      </c>
      <c r="G38" s="5">
        <v>83.1</v>
      </c>
      <c r="H38" s="5">
        <v>9.56</v>
      </c>
      <c r="I38" s="5">
        <v>1</v>
      </c>
      <c r="J38" s="5">
        <v>4.2</v>
      </c>
      <c r="K38" s="5">
        <v>820593.93</v>
      </c>
      <c r="L38" s="5">
        <v>115860.06</v>
      </c>
      <c r="M38" s="12">
        <v>0</v>
      </c>
      <c r="N38" s="12">
        <v>1</v>
      </c>
      <c r="O38" s="12">
        <v>0</v>
      </c>
      <c r="P38" s="12">
        <v>0</v>
      </c>
      <c r="Q38" s="12">
        <v>0</v>
      </c>
      <c r="R38" s="12">
        <v>1</v>
      </c>
    </row>
    <row r="39" spans="1:18">
      <c r="A39" s="3" t="s">
        <v>31</v>
      </c>
      <c r="B39" s="4">
        <v>45689</v>
      </c>
      <c r="C39" s="5">
        <v>61245.41</v>
      </c>
      <c r="D39" s="5">
        <v>8156</v>
      </c>
      <c r="E39" s="5">
        <v>0.156</v>
      </c>
      <c r="F39" s="5">
        <v>19</v>
      </c>
      <c r="G39" s="5">
        <v>92.9</v>
      </c>
      <c r="H39" s="5">
        <v>9.0500000000000007</v>
      </c>
      <c r="I39" s="5">
        <v>0</v>
      </c>
      <c r="J39" s="5">
        <v>3.8</v>
      </c>
      <c r="K39" s="5">
        <v>718330.53</v>
      </c>
      <c r="L39" s="5">
        <v>93247.9</v>
      </c>
      <c r="M39" s="12">
        <v>0</v>
      </c>
      <c r="N39" s="12">
        <v>1</v>
      </c>
      <c r="O39" s="12">
        <v>0</v>
      </c>
      <c r="P39" s="12">
        <v>0</v>
      </c>
      <c r="Q39" s="12">
        <v>0</v>
      </c>
      <c r="R39" s="12">
        <v>1</v>
      </c>
    </row>
    <row r="40" spans="1:18">
      <c r="A40" s="3" t="s">
        <v>31</v>
      </c>
      <c r="B40" s="4">
        <v>45717</v>
      </c>
      <c r="C40" s="5">
        <v>93381.26</v>
      </c>
      <c r="D40" s="5">
        <v>7562</v>
      </c>
      <c r="E40" s="5">
        <v>0.19800000000000001</v>
      </c>
      <c r="F40" s="5">
        <v>19</v>
      </c>
      <c r="G40" s="5">
        <v>82.9</v>
      </c>
      <c r="H40" s="5">
        <v>5.05</v>
      </c>
      <c r="I40" s="5">
        <v>0</v>
      </c>
      <c r="J40" s="5">
        <v>4</v>
      </c>
      <c r="K40" s="5">
        <v>736633.4</v>
      </c>
      <c r="L40" s="5">
        <v>115654.66</v>
      </c>
      <c r="M40" s="12">
        <v>0</v>
      </c>
      <c r="N40" s="12">
        <v>1</v>
      </c>
      <c r="O40" s="12">
        <v>0</v>
      </c>
      <c r="P40" s="12">
        <v>0</v>
      </c>
      <c r="Q40" s="12">
        <v>0</v>
      </c>
      <c r="R40" s="12">
        <v>1</v>
      </c>
    </row>
    <row r="41" spans="1:18">
      <c r="A41" s="3" t="s">
        <v>31</v>
      </c>
      <c r="B41" s="4">
        <v>45748</v>
      </c>
      <c r="C41" s="5">
        <v>65012.19</v>
      </c>
      <c r="D41" s="5">
        <v>9598</v>
      </c>
      <c r="E41" s="5">
        <v>8.5000000000000006E-2</v>
      </c>
      <c r="F41" s="5">
        <v>24</v>
      </c>
      <c r="G41" s="5">
        <v>98.3</v>
      </c>
      <c r="H41" s="5">
        <v>0.89</v>
      </c>
      <c r="I41" s="5">
        <v>0</v>
      </c>
      <c r="J41" s="5">
        <v>3.8</v>
      </c>
      <c r="K41" s="5">
        <v>828623.85</v>
      </c>
      <c r="L41" s="5">
        <v>167320.51999999999</v>
      </c>
      <c r="M41" s="12">
        <v>0</v>
      </c>
      <c r="N41" s="12">
        <v>1</v>
      </c>
      <c r="O41" s="12">
        <v>0</v>
      </c>
      <c r="P41" s="12">
        <v>0</v>
      </c>
      <c r="Q41" s="12">
        <v>0</v>
      </c>
      <c r="R41" s="12">
        <v>1</v>
      </c>
    </row>
    <row r="42" spans="1:18">
      <c r="A42" s="3" t="s">
        <v>32</v>
      </c>
      <c r="B42" s="4">
        <v>45658</v>
      </c>
      <c r="C42" s="5">
        <v>40462.94</v>
      </c>
      <c r="D42" s="5">
        <v>3660</v>
      </c>
      <c r="E42" s="5">
        <v>0.218</v>
      </c>
      <c r="F42" s="5">
        <v>11</v>
      </c>
      <c r="G42" s="5">
        <v>95.2</v>
      </c>
      <c r="H42" s="5">
        <v>5.57</v>
      </c>
      <c r="I42" s="5">
        <v>0</v>
      </c>
      <c r="J42" s="5">
        <v>4.4000000000000004</v>
      </c>
      <c r="K42" s="5">
        <v>592195.85</v>
      </c>
      <c r="L42" s="5">
        <v>92291.56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1</v>
      </c>
    </row>
    <row r="43" spans="1:18">
      <c r="A43" s="3" t="s">
        <v>32</v>
      </c>
      <c r="B43" s="4">
        <v>45689</v>
      </c>
      <c r="C43" s="5">
        <v>46123.88</v>
      </c>
      <c r="D43" s="5">
        <v>3227</v>
      </c>
      <c r="E43" s="5">
        <v>0.14299999999999999</v>
      </c>
      <c r="F43" s="5">
        <v>10</v>
      </c>
      <c r="G43" s="5">
        <v>75.400000000000006</v>
      </c>
      <c r="H43" s="5">
        <v>1.06</v>
      </c>
      <c r="I43" s="5">
        <v>0</v>
      </c>
      <c r="J43" s="5">
        <v>4.4000000000000004</v>
      </c>
      <c r="K43" s="5">
        <v>532644.46</v>
      </c>
      <c r="L43" s="5">
        <v>60681.32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1</v>
      </c>
    </row>
    <row r="44" spans="1:18">
      <c r="A44" s="3" t="s">
        <v>32</v>
      </c>
      <c r="B44" s="4">
        <v>45717</v>
      </c>
      <c r="C44" s="5">
        <v>68077.539999999994</v>
      </c>
      <c r="D44" s="5">
        <v>3360</v>
      </c>
      <c r="E44" s="5">
        <v>0.128</v>
      </c>
      <c r="F44" s="5">
        <v>14</v>
      </c>
      <c r="G44" s="5">
        <v>88.2</v>
      </c>
      <c r="H44" s="5">
        <v>1.24</v>
      </c>
      <c r="I44" s="5">
        <v>1</v>
      </c>
      <c r="J44" s="5">
        <v>4</v>
      </c>
      <c r="K44" s="5">
        <v>657429.18000000005</v>
      </c>
      <c r="L44" s="5">
        <v>88919.74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1</v>
      </c>
    </row>
    <row r="45" spans="1:18">
      <c r="A45" s="3" t="s">
        <v>32</v>
      </c>
      <c r="B45" s="4">
        <v>45748</v>
      </c>
      <c r="C45" s="5">
        <v>64882.14</v>
      </c>
      <c r="D45" s="5">
        <v>3642</v>
      </c>
      <c r="E45" s="5">
        <v>1.9E-2</v>
      </c>
      <c r="F45" s="5">
        <v>13</v>
      </c>
      <c r="G45" s="5">
        <v>87.8</v>
      </c>
      <c r="H45" s="5">
        <v>4.5199999999999996</v>
      </c>
      <c r="I45" s="5">
        <v>0</v>
      </c>
      <c r="J45" s="5">
        <v>4.2</v>
      </c>
      <c r="K45" s="5">
        <v>605178</v>
      </c>
      <c r="L45" s="5">
        <v>106958.74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1</v>
      </c>
    </row>
    <row r="46" spans="1:18">
      <c r="A46" s="3" t="s">
        <v>33</v>
      </c>
      <c r="B46" s="4">
        <v>45658</v>
      </c>
      <c r="C46" s="5">
        <v>138855.51</v>
      </c>
      <c r="D46" s="5">
        <v>5145</v>
      </c>
      <c r="E46" s="5">
        <v>0.06</v>
      </c>
      <c r="F46" s="5">
        <v>17</v>
      </c>
      <c r="G46" s="5">
        <v>88.2</v>
      </c>
      <c r="H46" s="5">
        <v>9.58</v>
      </c>
      <c r="I46" s="5">
        <v>0</v>
      </c>
      <c r="J46" s="5">
        <v>3.2</v>
      </c>
      <c r="K46" s="5">
        <v>595467.6</v>
      </c>
      <c r="L46" s="5">
        <v>104276.46</v>
      </c>
      <c r="M46" s="12">
        <v>1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</row>
    <row r="47" spans="1:18">
      <c r="A47" s="3" t="s">
        <v>33</v>
      </c>
      <c r="B47" s="4">
        <v>45689</v>
      </c>
      <c r="C47" s="5">
        <v>63630.21</v>
      </c>
      <c r="D47" s="5">
        <v>4460</v>
      </c>
      <c r="E47" s="5">
        <v>0.23499999999999999</v>
      </c>
      <c r="F47" s="5">
        <v>14</v>
      </c>
      <c r="G47" s="5">
        <v>98.6</v>
      </c>
      <c r="H47" s="5">
        <v>5.52</v>
      </c>
      <c r="I47" s="5">
        <v>0</v>
      </c>
      <c r="J47" s="5">
        <v>3.5</v>
      </c>
      <c r="K47" s="5">
        <v>599603.4</v>
      </c>
      <c r="L47" s="5">
        <v>112685.12</v>
      </c>
      <c r="M47" s="12">
        <v>1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</row>
    <row r="48" spans="1:18">
      <c r="A48" s="3" t="s">
        <v>33</v>
      </c>
      <c r="B48" s="4">
        <v>45717</v>
      </c>
      <c r="C48" s="5">
        <v>50043.65</v>
      </c>
      <c r="D48" s="5">
        <v>3804</v>
      </c>
      <c r="E48" s="5">
        <v>0.113</v>
      </c>
      <c r="F48" s="5">
        <v>11</v>
      </c>
      <c r="G48" s="5">
        <v>90.9</v>
      </c>
      <c r="H48" s="5">
        <v>2.7</v>
      </c>
      <c r="I48" s="5">
        <v>1</v>
      </c>
      <c r="J48" s="5">
        <v>3.2</v>
      </c>
      <c r="K48" s="5">
        <v>614800.09</v>
      </c>
      <c r="L48" s="5">
        <v>100044.2</v>
      </c>
      <c r="M48" s="12">
        <v>1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</row>
    <row r="49" spans="1:18">
      <c r="A49" s="3" t="s">
        <v>33</v>
      </c>
      <c r="B49" s="4">
        <v>45748</v>
      </c>
      <c r="C49" s="5">
        <v>42093.84</v>
      </c>
      <c r="D49" s="5">
        <v>4074</v>
      </c>
      <c r="E49" s="5">
        <v>0.155</v>
      </c>
      <c r="F49" s="5">
        <v>15</v>
      </c>
      <c r="G49" s="5">
        <v>88</v>
      </c>
      <c r="H49" s="5">
        <v>9.64</v>
      </c>
      <c r="I49" s="5">
        <v>0</v>
      </c>
      <c r="J49" s="5">
        <v>3.3</v>
      </c>
      <c r="K49" s="5">
        <v>585365.73</v>
      </c>
      <c r="L49" s="5">
        <v>81011.520000000004</v>
      </c>
      <c r="M49" s="12">
        <v>1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</row>
    <row r="50" spans="1:18">
      <c r="A50" s="3" t="s">
        <v>34</v>
      </c>
      <c r="B50" s="4">
        <v>45658</v>
      </c>
      <c r="C50" s="5">
        <v>46624.05</v>
      </c>
      <c r="D50" s="5">
        <v>5104</v>
      </c>
      <c r="E50" s="5">
        <v>0.109</v>
      </c>
      <c r="F50" s="5">
        <v>11</v>
      </c>
      <c r="G50" s="5">
        <v>97.3</v>
      </c>
      <c r="H50" s="5">
        <v>3.49</v>
      </c>
      <c r="I50" s="5">
        <v>1</v>
      </c>
      <c r="J50" s="5">
        <v>4.7</v>
      </c>
      <c r="K50" s="5">
        <v>622811.74</v>
      </c>
      <c r="L50" s="5">
        <v>109978.35</v>
      </c>
      <c r="M50" s="12">
        <v>0</v>
      </c>
      <c r="N50" s="12">
        <v>1</v>
      </c>
      <c r="O50" s="12">
        <v>0</v>
      </c>
      <c r="P50" s="12">
        <v>0</v>
      </c>
      <c r="Q50" s="12">
        <v>0</v>
      </c>
      <c r="R50" s="12">
        <v>1</v>
      </c>
    </row>
    <row r="51" spans="1:18">
      <c r="A51" s="3" t="s">
        <v>34</v>
      </c>
      <c r="B51" s="4">
        <v>45689</v>
      </c>
      <c r="C51" s="5">
        <v>49710.29</v>
      </c>
      <c r="D51" s="5">
        <v>5559</v>
      </c>
      <c r="E51" s="5">
        <v>0.218</v>
      </c>
      <c r="F51" s="5">
        <v>14</v>
      </c>
      <c r="G51" s="5">
        <v>71</v>
      </c>
      <c r="H51" s="5">
        <v>9.11</v>
      </c>
      <c r="I51" s="5">
        <v>0</v>
      </c>
      <c r="J51" s="5">
        <v>4.5999999999999996</v>
      </c>
      <c r="K51" s="5">
        <v>603297.56999999995</v>
      </c>
      <c r="L51" s="5">
        <v>60592.26</v>
      </c>
      <c r="M51" s="12">
        <v>0</v>
      </c>
      <c r="N51" s="12">
        <v>1</v>
      </c>
      <c r="O51" s="12">
        <v>0</v>
      </c>
      <c r="P51" s="12">
        <v>0</v>
      </c>
      <c r="Q51" s="12">
        <v>0</v>
      </c>
      <c r="R51" s="12">
        <v>1</v>
      </c>
    </row>
    <row r="52" spans="1:18">
      <c r="A52" s="3" t="s">
        <v>34</v>
      </c>
      <c r="B52" s="4">
        <v>45717</v>
      </c>
      <c r="C52" s="5">
        <v>48287.85</v>
      </c>
      <c r="D52" s="5">
        <v>5150</v>
      </c>
      <c r="E52" s="5">
        <v>8.0000000000000002E-3</v>
      </c>
      <c r="F52" s="5">
        <v>12</v>
      </c>
      <c r="G52" s="5">
        <v>80.400000000000006</v>
      </c>
      <c r="H52" s="5">
        <v>7.4</v>
      </c>
      <c r="I52" s="5">
        <v>0</v>
      </c>
      <c r="J52" s="5">
        <v>4.5</v>
      </c>
      <c r="K52" s="5">
        <v>625672.86</v>
      </c>
      <c r="L52" s="5">
        <v>118020.12</v>
      </c>
      <c r="M52" s="12">
        <v>0</v>
      </c>
      <c r="N52" s="12">
        <v>1</v>
      </c>
      <c r="O52" s="12">
        <v>0</v>
      </c>
      <c r="P52" s="12">
        <v>0</v>
      </c>
      <c r="Q52" s="12">
        <v>0</v>
      </c>
      <c r="R52" s="12">
        <v>1</v>
      </c>
    </row>
    <row r="53" spans="1:18">
      <c r="A53" s="3" t="s">
        <v>34</v>
      </c>
      <c r="B53" s="4">
        <v>45748</v>
      </c>
      <c r="C53" s="5">
        <v>65312.49</v>
      </c>
      <c r="D53" s="5">
        <v>7189</v>
      </c>
      <c r="E53" s="5">
        <v>0.05</v>
      </c>
      <c r="F53" s="5">
        <v>19</v>
      </c>
      <c r="G53" s="5">
        <v>93.7</v>
      </c>
      <c r="H53" s="5">
        <v>7.16</v>
      </c>
      <c r="I53" s="5">
        <v>0</v>
      </c>
      <c r="J53" s="5">
        <v>4.5999999999999996</v>
      </c>
      <c r="K53" s="5">
        <v>773815.14</v>
      </c>
      <c r="L53" s="5">
        <v>133948.39000000001</v>
      </c>
      <c r="M53" s="12">
        <v>0</v>
      </c>
      <c r="N53" s="12">
        <v>1</v>
      </c>
      <c r="O53" s="12">
        <v>0</v>
      </c>
      <c r="P53" s="12">
        <v>0</v>
      </c>
      <c r="Q53" s="12">
        <v>0</v>
      </c>
      <c r="R53" s="12">
        <v>1</v>
      </c>
    </row>
    <row r="54" spans="1:18">
      <c r="A54" s="3" t="s">
        <v>35</v>
      </c>
      <c r="B54" s="4">
        <v>45658</v>
      </c>
      <c r="C54" s="5">
        <v>53015.46</v>
      </c>
      <c r="D54" s="5">
        <v>3279</v>
      </c>
      <c r="E54" s="5">
        <v>8.6999999999999994E-2</v>
      </c>
      <c r="F54" s="5">
        <v>9</v>
      </c>
      <c r="G54" s="5">
        <v>84.3</v>
      </c>
      <c r="H54" s="5">
        <v>22.02</v>
      </c>
      <c r="I54" s="5">
        <v>0</v>
      </c>
      <c r="J54" s="5">
        <v>3.9</v>
      </c>
      <c r="K54" s="5">
        <v>463534.25</v>
      </c>
      <c r="L54" s="5">
        <v>81834.539999999994</v>
      </c>
      <c r="M54" s="12">
        <v>1</v>
      </c>
      <c r="N54" s="12">
        <v>0</v>
      </c>
      <c r="O54" s="12">
        <v>0</v>
      </c>
      <c r="P54" s="12">
        <v>0</v>
      </c>
      <c r="Q54" s="12">
        <v>1</v>
      </c>
      <c r="R54" s="12">
        <v>0</v>
      </c>
    </row>
    <row r="55" spans="1:18">
      <c r="A55" s="3" t="s">
        <v>35</v>
      </c>
      <c r="B55" s="4">
        <v>45689</v>
      </c>
      <c r="C55" s="5">
        <v>99874.01</v>
      </c>
      <c r="D55" s="5">
        <v>5887</v>
      </c>
      <c r="E55" s="5">
        <v>0.26200000000000001</v>
      </c>
      <c r="F55" s="5">
        <v>14</v>
      </c>
      <c r="G55" s="5">
        <v>88.7</v>
      </c>
      <c r="H55" s="5">
        <v>6.18</v>
      </c>
      <c r="I55" s="5">
        <v>0</v>
      </c>
      <c r="J55" s="5">
        <v>4.7</v>
      </c>
      <c r="K55" s="5">
        <v>746677.75</v>
      </c>
      <c r="L55" s="5">
        <v>122437.84</v>
      </c>
      <c r="M55" s="12">
        <v>1</v>
      </c>
      <c r="N55" s="12">
        <v>0</v>
      </c>
      <c r="O55" s="12">
        <v>0</v>
      </c>
      <c r="P55" s="12">
        <v>0</v>
      </c>
      <c r="Q55" s="12">
        <v>1</v>
      </c>
      <c r="R55" s="12">
        <v>0</v>
      </c>
    </row>
    <row r="56" spans="1:18">
      <c r="A56" s="3" t="s">
        <v>35</v>
      </c>
      <c r="B56" s="4">
        <v>45717</v>
      </c>
      <c r="C56" s="5">
        <v>81195.5</v>
      </c>
      <c r="D56" s="5">
        <v>5516</v>
      </c>
      <c r="E56" s="5">
        <v>0.106</v>
      </c>
      <c r="F56" s="5">
        <v>14</v>
      </c>
      <c r="G56" s="5">
        <v>88</v>
      </c>
      <c r="H56" s="5">
        <v>1.76</v>
      </c>
      <c r="I56" s="5">
        <v>0</v>
      </c>
      <c r="J56" s="5">
        <v>4.3</v>
      </c>
      <c r="K56" s="5">
        <v>720852.5</v>
      </c>
      <c r="L56" s="5">
        <v>98565.62</v>
      </c>
      <c r="M56" s="12">
        <v>1</v>
      </c>
      <c r="N56" s="12">
        <v>0</v>
      </c>
      <c r="O56" s="12">
        <v>0</v>
      </c>
      <c r="P56" s="12">
        <v>0</v>
      </c>
      <c r="Q56" s="12">
        <v>1</v>
      </c>
      <c r="R56" s="12">
        <v>0</v>
      </c>
    </row>
    <row r="57" spans="1:18">
      <c r="A57" s="3" t="s">
        <v>35</v>
      </c>
      <c r="B57" s="4">
        <v>45748</v>
      </c>
      <c r="C57" s="5">
        <v>27808.6</v>
      </c>
      <c r="D57" s="5">
        <v>2863</v>
      </c>
      <c r="E57" s="5">
        <v>0.08</v>
      </c>
      <c r="F57" s="5">
        <v>13</v>
      </c>
      <c r="G57" s="5">
        <v>89.3</v>
      </c>
      <c r="H57" s="5">
        <v>0.47</v>
      </c>
      <c r="I57" s="5">
        <v>0</v>
      </c>
      <c r="J57" s="5">
        <v>4.0999999999999996</v>
      </c>
      <c r="K57" s="5">
        <v>487464.91</v>
      </c>
      <c r="L57" s="5">
        <v>64562.26</v>
      </c>
      <c r="M57" s="12">
        <v>1</v>
      </c>
      <c r="N57" s="12">
        <v>0</v>
      </c>
      <c r="O57" s="12">
        <v>0</v>
      </c>
      <c r="P57" s="12">
        <v>0</v>
      </c>
      <c r="Q57" s="12">
        <v>1</v>
      </c>
      <c r="R57" s="12">
        <v>0</v>
      </c>
    </row>
    <row r="58" spans="1:18">
      <c r="A58" s="3" t="s">
        <v>36</v>
      </c>
      <c r="B58" s="4">
        <v>45658</v>
      </c>
      <c r="C58" s="5">
        <v>19365.060000000001</v>
      </c>
      <c r="D58" s="5">
        <v>2378</v>
      </c>
      <c r="E58" s="5">
        <v>0</v>
      </c>
      <c r="F58" s="5">
        <v>12</v>
      </c>
      <c r="G58" s="5">
        <v>94.8</v>
      </c>
      <c r="H58" s="5">
        <v>0.2</v>
      </c>
      <c r="I58" s="5">
        <v>0</v>
      </c>
      <c r="J58" s="5">
        <v>3.5</v>
      </c>
      <c r="K58" s="5">
        <v>518049.26</v>
      </c>
      <c r="L58" s="5">
        <v>108592.49</v>
      </c>
      <c r="M58" s="12">
        <v>0</v>
      </c>
      <c r="N58" s="12">
        <v>0</v>
      </c>
      <c r="O58" s="12">
        <v>0</v>
      </c>
      <c r="P58" s="12">
        <v>1</v>
      </c>
      <c r="Q58" s="12">
        <v>0</v>
      </c>
      <c r="R58" s="12">
        <v>0</v>
      </c>
    </row>
    <row r="59" spans="1:18">
      <c r="A59" s="3" t="s">
        <v>36</v>
      </c>
      <c r="B59" s="4">
        <v>45689</v>
      </c>
      <c r="C59" s="5">
        <v>59405.68</v>
      </c>
      <c r="D59" s="5">
        <v>2515</v>
      </c>
      <c r="E59" s="5">
        <v>3.9E-2</v>
      </c>
      <c r="F59" s="5">
        <v>12</v>
      </c>
      <c r="G59" s="5">
        <v>76</v>
      </c>
      <c r="H59" s="5">
        <v>5.1100000000000003</v>
      </c>
      <c r="I59" s="5">
        <v>0</v>
      </c>
      <c r="J59" s="5">
        <v>3.7</v>
      </c>
      <c r="K59" s="5">
        <v>500298.48</v>
      </c>
      <c r="L59" s="5">
        <v>73461.320000000007</v>
      </c>
      <c r="M59" s="12">
        <v>0</v>
      </c>
      <c r="N59" s="12">
        <v>0</v>
      </c>
      <c r="O59" s="12">
        <v>0</v>
      </c>
      <c r="P59" s="12">
        <v>1</v>
      </c>
      <c r="Q59" s="12">
        <v>0</v>
      </c>
      <c r="R59" s="12">
        <v>0</v>
      </c>
    </row>
    <row r="60" spans="1:18">
      <c r="A60" s="3" t="s">
        <v>36</v>
      </c>
      <c r="B60" s="4">
        <v>45717</v>
      </c>
      <c r="C60" s="5">
        <v>118910.48</v>
      </c>
      <c r="D60" s="5">
        <v>4022</v>
      </c>
      <c r="E60" s="5">
        <v>0.13700000000000001</v>
      </c>
      <c r="F60" s="5">
        <v>11</v>
      </c>
      <c r="G60" s="5">
        <v>87.1</v>
      </c>
      <c r="H60" s="5">
        <v>0.2</v>
      </c>
      <c r="I60" s="5">
        <v>0</v>
      </c>
      <c r="J60" s="5">
        <v>3.1</v>
      </c>
      <c r="K60" s="5">
        <v>617291.15</v>
      </c>
      <c r="L60" s="5">
        <v>117782</v>
      </c>
      <c r="M60" s="12">
        <v>0</v>
      </c>
      <c r="N60" s="12">
        <v>0</v>
      </c>
      <c r="O60" s="12">
        <v>0</v>
      </c>
      <c r="P60" s="12">
        <v>1</v>
      </c>
      <c r="Q60" s="12">
        <v>0</v>
      </c>
      <c r="R60" s="12">
        <v>0</v>
      </c>
    </row>
    <row r="61" spans="1:18">
      <c r="A61" s="3" t="s">
        <v>36</v>
      </c>
      <c r="B61" s="4">
        <v>45748</v>
      </c>
      <c r="C61" s="5">
        <v>52952.12</v>
      </c>
      <c r="D61" s="5">
        <v>4377</v>
      </c>
      <c r="E61" s="5">
        <v>9.1999999999999998E-2</v>
      </c>
      <c r="F61" s="5">
        <v>14</v>
      </c>
      <c r="G61" s="5">
        <v>88.6</v>
      </c>
      <c r="H61" s="5">
        <v>13.59</v>
      </c>
      <c r="I61" s="5">
        <v>0</v>
      </c>
      <c r="J61" s="5">
        <v>3.1</v>
      </c>
      <c r="K61" s="5">
        <v>553756.43000000005</v>
      </c>
      <c r="L61" s="5">
        <v>86166.77</v>
      </c>
      <c r="M61" s="12">
        <v>0</v>
      </c>
      <c r="N61" s="12">
        <v>0</v>
      </c>
      <c r="O61" s="12">
        <v>0</v>
      </c>
      <c r="P61" s="12">
        <v>1</v>
      </c>
      <c r="Q61" s="12">
        <v>0</v>
      </c>
      <c r="R61" s="12">
        <v>0</v>
      </c>
    </row>
    <row r="62" spans="1:18">
      <c r="A62" s="3" t="s">
        <v>37</v>
      </c>
      <c r="B62" s="4">
        <v>45658</v>
      </c>
      <c r="C62" s="5">
        <v>74907.98</v>
      </c>
      <c r="D62" s="5">
        <v>5306</v>
      </c>
      <c r="E62" s="5">
        <v>6.2E-2</v>
      </c>
      <c r="F62" s="5">
        <v>16</v>
      </c>
      <c r="G62" s="5">
        <v>95.6</v>
      </c>
      <c r="H62" s="5">
        <v>1.02</v>
      </c>
      <c r="I62" s="5">
        <v>0</v>
      </c>
      <c r="J62" s="5">
        <v>3.7</v>
      </c>
      <c r="K62" s="5">
        <v>749559.71</v>
      </c>
      <c r="L62" s="5">
        <v>144522.53</v>
      </c>
      <c r="M62" s="12">
        <v>0</v>
      </c>
      <c r="N62" s="12">
        <v>0</v>
      </c>
      <c r="O62" s="12">
        <v>1</v>
      </c>
      <c r="P62" s="12">
        <v>0</v>
      </c>
      <c r="Q62" s="12">
        <v>1</v>
      </c>
      <c r="R62" s="12">
        <v>0</v>
      </c>
    </row>
    <row r="63" spans="1:18">
      <c r="A63" s="3" t="s">
        <v>37</v>
      </c>
      <c r="B63" s="4">
        <v>45689</v>
      </c>
      <c r="C63" s="5">
        <v>37284.660000000003</v>
      </c>
      <c r="D63" s="5">
        <v>3928</v>
      </c>
      <c r="E63" s="5">
        <v>7.3999999999999996E-2</v>
      </c>
      <c r="F63" s="5">
        <v>12</v>
      </c>
      <c r="G63" s="5">
        <v>86.5</v>
      </c>
      <c r="H63" s="5">
        <v>1.64</v>
      </c>
      <c r="I63" s="5">
        <v>0</v>
      </c>
      <c r="J63" s="5">
        <v>3.8</v>
      </c>
      <c r="K63" s="5">
        <v>615966.48</v>
      </c>
      <c r="L63" s="5">
        <v>91509.38</v>
      </c>
      <c r="M63" s="12">
        <v>0</v>
      </c>
      <c r="N63" s="12">
        <v>0</v>
      </c>
      <c r="O63" s="12">
        <v>1</v>
      </c>
      <c r="P63" s="12">
        <v>0</v>
      </c>
      <c r="Q63" s="12">
        <v>1</v>
      </c>
      <c r="R63" s="12">
        <v>0</v>
      </c>
    </row>
    <row r="64" spans="1:18">
      <c r="A64" s="3" t="s">
        <v>37</v>
      </c>
      <c r="B64" s="4">
        <v>45717</v>
      </c>
      <c r="C64" s="5">
        <v>50343.19</v>
      </c>
      <c r="D64" s="5">
        <v>3845</v>
      </c>
      <c r="E64" s="5">
        <v>0.113</v>
      </c>
      <c r="F64" s="5">
        <v>9</v>
      </c>
      <c r="G64" s="5">
        <v>88.7</v>
      </c>
      <c r="H64" s="5">
        <v>5.15</v>
      </c>
      <c r="I64" s="5">
        <v>0</v>
      </c>
      <c r="J64" s="5">
        <v>3.3</v>
      </c>
      <c r="K64" s="5">
        <v>572011.19999999995</v>
      </c>
      <c r="L64" s="5">
        <v>101409.68</v>
      </c>
      <c r="M64" s="12">
        <v>0</v>
      </c>
      <c r="N64" s="12">
        <v>0</v>
      </c>
      <c r="O64" s="12">
        <v>1</v>
      </c>
      <c r="P64" s="12">
        <v>0</v>
      </c>
      <c r="Q64" s="12">
        <v>1</v>
      </c>
      <c r="R64" s="12">
        <v>0</v>
      </c>
    </row>
    <row r="65" spans="1:18">
      <c r="A65" s="3" t="s">
        <v>37</v>
      </c>
      <c r="B65" s="4">
        <v>45748</v>
      </c>
      <c r="C65" s="5">
        <v>74954.47</v>
      </c>
      <c r="D65" s="5">
        <v>6620</v>
      </c>
      <c r="E65" s="5">
        <v>5.3999999999999999E-2</v>
      </c>
      <c r="F65" s="5">
        <v>17</v>
      </c>
      <c r="G65" s="5">
        <v>91.1</v>
      </c>
      <c r="H65" s="5">
        <v>1.1100000000000001</v>
      </c>
      <c r="I65" s="5">
        <v>0</v>
      </c>
      <c r="J65" s="5">
        <v>3.5</v>
      </c>
      <c r="K65" s="5">
        <v>761860.19</v>
      </c>
      <c r="L65" s="5">
        <v>133279.38</v>
      </c>
      <c r="M65" s="12">
        <v>0</v>
      </c>
      <c r="N65" s="12">
        <v>0</v>
      </c>
      <c r="O65" s="12">
        <v>1</v>
      </c>
      <c r="P65" s="12">
        <v>0</v>
      </c>
      <c r="Q65" s="12">
        <v>1</v>
      </c>
      <c r="R65" s="12">
        <v>0</v>
      </c>
    </row>
    <row r="66" spans="1:18">
      <c r="A66" s="3" t="s">
        <v>38</v>
      </c>
      <c r="B66" s="4">
        <v>45658</v>
      </c>
      <c r="C66" s="5">
        <v>70040.31</v>
      </c>
      <c r="D66" s="5">
        <v>9175</v>
      </c>
      <c r="E66" s="5">
        <v>0.107</v>
      </c>
      <c r="F66" s="5">
        <v>23</v>
      </c>
      <c r="G66" s="5">
        <v>95.1</v>
      </c>
      <c r="H66" s="5">
        <v>6.08</v>
      </c>
      <c r="I66" s="5">
        <v>1</v>
      </c>
      <c r="J66" s="5">
        <v>3.4</v>
      </c>
      <c r="K66" s="5">
        <v>784502.68</v>
      </c>
      <c r="L66" s="5">
        <v>129519.72</v>
      </c>
      <c r="M66" s="12">
        <v>1</v>
      </c>
      <c r="N66" s="12">
        <v>0</v>
      </c>
      <c r="O66" s="12">
        <v>0</v>
      </c>
      <c r="P66" s="12">
        <v>0</v>
      </c>
      <c r="Q66" s="12">
        <v>1</v>
      </c>
      <c r="R66" s="12">
        <v>0</v>
      </c>
    </row>
    <row r="67" spans="1:18">
      <c r="A67" s="3" t="s">
        <v>38</v>
      </c>
      <c r="B67" s="4">
        <v>45689</v>
      </c>
      <c r="C67" s="5">
        <v>51148.69</v>
      </c>
      <c r="D67" s="5">
        <v>7940</v>
      </c>
      <c r="E67" s="5">
        <v>0.156</v>
      </c>
      <c r="F67" s="5">
        <v>18</v>
      </c>
      <c r="G67" s="5">
        <v>93.3</v>
      </c>
      <c r="H67" s="5">
        <v>10.91</v>
      </c>
      <c r="I67" s="5">
        <v>0</v>
      </c>
      <c r="J67" s="5">
        <v>3.6</v>
      </c>
      <c r="K67" s="5">
        <v>717141.55</v>
      </c>
      <c r="L67" s="5">
        <v>134013.60999999999</v>
      </c>
      <c r="M67" s="12">
        <v>1</v>
      </c>
      <c r="N67" s="12">
        <v>0</v>
      </c>
      <c r="O67" s="12">
        <v>0</v>
      </c>
      <c r="P67" s="12">
        <v>0</v>
      </c>
      <c r="Q67" s="12">
        <v>1</v>
      </c>
      <c r="R67" s="12">
        <v>0</v>
      </c>
    </row>
    <row r="68" spans="1:18">
      <c r="A68" s="3" t="s">
        <v>38</v>
      </c>
      <c r="B68" s="4">
        <v>45717</v>
      </c>
      <c r="C68" s="5">
        <v>79346.100000000006</v>
      </c>
      <c r="D68" s="5">
        <v>9628</v>
      </c>
      <c r="E68" s="5">
        <v>0.10199999999999999</v>
      </c>
      <c r="F68" s="5">
        <v>20</v>
      </c>
      <c r="G68" s="5">
        <v>99</v>
      </c>
      <c r="H68" s="5">
        <v>19.010000000000002</v>
      </c>
      <c r="I68" s="5">
        <v>1</v>
      </c>
      <c r="J68" s="5">
        <v>3.2</v>
      </c>
      <c r="K68" s="5">
        <v>685379.08</v>
      </c>
      <c r="L68" s="5">
        <v>106898.82</v>
      </c>
      <c r="M68" s="12">
        <v>1</v>
      </c>
      <c r="N68" s="12">
        <v>0</v>
      </c>
      <c r="O68" s="12">
        <v>0</v>
      </c>
      <c r="P68" s="12">
        <v>0</v>
      </c>
      <c r="Q68" s="12">
        <v>1</v>
      </c>
      <c r="R68" s="12">
        <v>0</v>
      </c>
    </row>
    <row r="69" spans="1:18">
      <c r="A69" s="3" t="s">
        <v>38</v>
      </c>
      <c r="B69" s="4">
        <v>45748</v>
      </c>
      <c r="C69" s="5">
        <v>42018.400000000001</v>
      </c>
      <c r="D69" s="5">
        <v>8296</v>
      </c>
      <c r="E69" s="5">
        <v>0.115</v>
      </c>
      <c r="F69" s="5">
        <v>17</v>
      </c>
      <c r="G69" s="5">
        <v>91.8</v>
      </c>
      <c r="H69" s="5">
        <v>0.77</v>
      </c>
      <c r="I69" s="5">
        <v>0</v>
      </c>
      <c r="J69" s="5">
        <v>3.4</v>
      </c>
      <c r="K69" s="5">
        <v>740496.65</v>
      </c>
      <c r="L69" s="5">
        <v>128020.9</v>
      </c>
      <c r="M69" s="12">
        <v>1</v>
      </c>
      <c r="N69" s="12">
        <v>0</v>
      </c>
      <c r="O69" s="12">
        <v>0</v>
      </c>
      <c r="P69" s="12">
        <v>0</v>
      </c>
      <c r="Q69" s="12">
        <v>1</v>
      </c>
      <c r="R69" s="12">
        <v>0</v>
      </c>
    </row>
    <row r="70" spans="1:18">
      <c r="A70" s="3" t="s">
        <v>39</v>
      </c>
      <c r="B70" s="4">
        <v>45658</v>
      </c>
      <c r="C70" s="5">
        <v>70937.240000000005</v>
      </c>
      <c r="D70" s="5">
        <v>3595</v>
      </c>
      <c r="E70" s="5">
        <v>0.14099999999999999</v>
      </c>
      <c r="F70" s="5">
        <v>11</v>
      </c>
      <c r="G70" s="5">
        <v>88.9</v>
      </c>
      <c r="H70" s="5">
        <v>2.83</v>
      </c>
      <c r="I70" s="5">
        <v>1</v>
      </c>
      <c r="J70" s="5">
        <v>3.3</v>
      </c>
      <c r="K70" s="5">
        <v>661927.14</v>
      </c>
      <c r="L70" s="5">
        <v>79218.570000000007</v>
      </c>
      <c r="M70" s="12">
        <v>0</v>
      </c>
      <c r="N70" s="12">
        <v>0</v>
      </c>
      <c r="O70" s="12">
        <v>0</v>
      </c>
      <c r="P70" s="12">
        <v>0</v>
      </c>
      <c r="Q70" s="12">
        <v>1</v>
      </c>
      <c r="R70" s="12">
        <v>0</v>
      </c>
    </row>
    <row r="71" spans="1:18">
      <c r="A71" s="3" t="s">
        <v>39</v>
      </c>
      <c r="B71" s="4">
        <v>45689</v>
      </c>
      <c r="C71" s="5">
        <v>36813.449999999997</v>
      </c>
      <c r="D71" s="5">
        <v>2834</v>
      </c>
      <c r="E71" s="5">
        <v>0.191</v>
      </c>
      <c r="F71" s="5">
        <v>11</v>
      </c>
      <c r="G71" s="5">
        <v>81.8</v>
      </c>
      <c r="H71" s="5">
        <v>2.33</v>
      </c>
      <c r="I71" s="5">
        <v>0</v>
      </c>
      <c r="J71" s="5">
        <v>3.3</v>
      </c>
      <c r="K71" s="5">
        <v>479050.5</v>
      </c>
      <c r="L71" s="5">
        <v>53651.11</v>
      </c>
      <c r="M71" s="12">
        <v>0</v>
      </c>
      <c r="N71" s="12">
        <v>0</v>
      </c>
      <c r="O71" s="12">
        <v>0</v>
      </c>
      <c r="P71" s="12">
        <v>0</v>
      </c>
      <c r="Q71" s="12">
        <v>1</v>
      </c>
      <c r="R71" s="12">
        <v>0</v>
      </c>
    </row>
    <row r="72" spans="1:18">
      <c r="A72" s="3" t="s">
        <v>39</v>
      </c>
      <c r="B72" s="4">
        <v>45717</v>
      </c>
      <c r="C72" s="5">
        <v>60571.82</v>
      </c>
      <c r="D72" s="5">
        <v>3193</v>
      </c>
      <c r="E72" s="5">
        <v>0.19700000000000001</v>
      </c>
      <c r="F72" s="5">
        <v>7</v>
      </c>
      <c r="G72" s="5">
        <v>99</v>
      </c>
      <c r="H72" s="5">
        <v>1.43</v>
      </c>
      <c r="I72" s="5">
        <v>0</v>
      </c>
      <c r="J72" s="5">
        <v>3.2</v>
      </c>
      <c r="K72" s="5">
        <v>605023.87</v>
      </c>
      <c r="L72" s="5">
        <v>98545.81</v>
      </c>
      <c r="M72" s="12">
        <v>0</v>
      </c>
      <c r="N72" s="12">
        <v>0</v>
      </c>
      <c r="O72" s="12">
        <v>0</v>
      </c>
      <c r="P72" s="12">
        <v>0</v>
      </c>
      <c r="Q72" s="12">
        <v>1</v>
      </c>
      <c r="R72" s="12">
        <v>0</v>
      </c>
    </row>
    <row r="73" spans="1:18">
      <c r="A73" s="3" t="s">
        <v>39</v>
      </c>
      <c r="B73" s="4">
        <v>45748</v>
      </c>
      <c r="C73" s="5">
        <v>55081.16</v>
      </c>
      <c r="D73" s="5">
        <v>5485</v>
      </c>
      <c r="E73" s="5">
        <v>3.5999999999999997E-2</v>
      </c>
      <c r="F73" s="5">
        <v>12</v>
      </c>
      <c r="G73" s="5">
        <v>88</v>
      </c>
      <c r="H73" s="5">
        <v>3.37</v>
      </c>
      <c r="I73" s="5">
        <v>0</v>
      </c>
      <c r="J73" s="5">
        <v>3.5</v>
      </c>
      <c r="K73" s="5">
        <v>674774.09</v>
      </c>
      <c r="L73" s="5">
        <v>141917.59</v>
      </c>
      <c r="M73" s="12">
        <v>0</v>
      </c>
      <c r="N73" s="12">
        <v>0</v>
      </c>
      <c r="O73" s="12">
        <v>0</v>
      </c>
      <c r="P73" s="12">
        <v>0</v>
      </c>
      <c r="Q73" s="12">
        <v>1</v>
      </c>
      <c r="R73" s="12">
        <v>0</v>
      </c>
    </row>
    <row r="74" spans="1:18">
      <c r="A74" s="3" t="s">
        <v>40</v>
      </c>
      <c r="B74" s="4">
        <v>45658</v>
      </c>
      <c r="C74" s="5">
        <v>46201.46</v>
      </c>
      <c r="D74" s="5">
        <v>5918</v>
      </c>
      <c r="E74" s="5">
        <v>0.27700000000000002</v>
      </c>
      <c r="F74" s="5">
        <v>13</v>
      </c>
      <c r="G74" s="5">
        <v>78.8</v>
      </c>
      <c r="H74" s="5">
        <v>4.91</v>
      </c>
      <c r="I74" s="5">
        <v>0</v>
      </c>
      <c r="J74" s="5">
        <v>4.5</v>
      </c>
      <c r="K74" s="5">
        <v>616069.41</v>
      </c>
      <c r="L74" s="5">
        <v>54453.99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</row>
    <row r="75" spans="1:18">
      <c r="A75" s="3" t="s">
        <v>40</v>
      </c>
      <c r="B75" s="4">
        <v>45689</v>
      </c>
      <c r="C75" s="5">
        <v>53762.92</v>
      </c>
      <c r="D75" s="5">
        <v>6821</v>
      </c>
      <c r="E75" s="5">
        <v>6.6000000000000003E-2</v>
      </c>
      <c r="F75" s="5">
        <v>19</v>
      </c>
      <c r="G75" s="5">
        <v>94.6</v>
      </c>
      <c r="H75" s="5">
        <v>7.03</v>
      </c>
      <c r="I75" s="5">
        <v>0</v>
      </c>
      <c r="J75" s="5">
        <v>4.4000000000000004</v>
      </c>
      <c r="K75" s="5">
        <v>630829.93999999994</v>
      </c>
      <c r="L75" s="5">
        <v>117090.02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</row>
    <row r="76" spans="1:18">
      <c r="A76" s="3" t="s">
        <v>40</v>
      </c>
      <c r="B76" s="4">
        <v>45717</v>
      </c>
      <c r="C76" s="5">
        <v>70144.78</v>
      </c>
      <c r="D76" s="5">
        <v>6806</v>
      </c>
      <c r="E76" s="5">
        <v>0.17799999999999999</v>
      </c>
      <c r="F76" s="5">
        <v>20</v>
      </c>
      <c r="G76" s="5">
        <v>93.1</v>
      </c>
      <c r="H76" s="5">
        <v>0.28000000000000003</v>
      </c>
      <c r="I76" s="5">
        <v>1</v>
      </c>
      <c r="J76" s="5">
        <v>4.3</v>
      </c>
      <c r="K76" s="5">
        <v>788087.68</v>
      </c>
      <c r="L76" s="5">
        <v>116803.42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</row>
    <row r="77" spans="1:18">
      <c r="A77" s="3" t="s">
        <v>40</v>
      </c>
      <c r="B77" s="4">
        <v>45748</v>
      </c>
      <c r="C77" s="5">
        <v>58749.63</v>
      </c>
      <c r="D77" s="5">
        <v>8252</v>
      </c>
      <c r="E77" s="5">
        <v>0.20300000000000001</v>
      </c>
      <c r="F77" s="5">
        <v>20</v>
      </c>
      <c r="G77" s="5">
        <v>85.2</v>
      </c>
      <c r="H77" s="5">
        <v>3.61</v>
      </c>
      <c r="I77" s="5">
        <v>0</v>
      </c>
      <c r="J77" s="5">
        <v>4.5</v>
      </c>
      <c r="K77" s="5">
        <v>680840.36</v>
      </c>
      <c r="L77" s="5">
        <v>68007.679999999993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</row>
    <row r="78" spans="1:18">
      <c r="A78" s="3" t="s">
        <v>41</v>
      </c>
      <c r="B78" s="4">
        <v>45658</v>
      </c>
      <c r="C78" s="5">
        <v>56973.18</v>
      </c>
      <c r="D78" s="5">
        <v>6662</v>
      </c>
      <c r="E78" s="5">
        <v>0.1</v>
      </c>
      <c r="F78" s="5">
        <v>15</v>
      </c>
      <c r="G78" s="5">
        <v>77.7</v>
      </c>
      <c r="H78" s="5">
        <v>7.52</v>
      </c>
      <c r="I78" s="5">
        <v>1</v>
      </c>
      <c r="J78" s="5">
        <v>3.2</v>
      </c>
      <c r="K78" s="5">
        <v>643657.47</v>
      </c>
      <c r="L78" s="5">
        <v>87022.45</v>
      </c>
      <c r="M78" s="12">
        <v>0</v>
      </c>
      <c r="N78" s="12">
        <v>0</v>
      </c>
      <c r="O78" s="12">
        <v>1</v>
      </c>
      <c r="P78" s="12">
        <v>0</v>
      </c>
      <c r="Q78" s="12">
        <v>1</v>
      </c>
      <c r="R78" s="12">
        <v>0</v>
      </c>
    </row>
    <row r="79" spans="1:18">
      <c r="A79" s="3" t="s">
        <v>41</v>
      </c>
      <c r="B79" s="4">
        <v>45689</v>
      </c>
      <c r="C79" s="5">
        <v>54872.82</v>
      </c>
      <c r="D79" s="5">
        <v>5962</v>
      </c>
      <c r="E79" s="5">
        <v>6.4000000000000001E-2</v>
      </c>
      <c r="F79" s="5">
        <v>12</v>
      </c>
      <c r="G79" s="5">
        <v>85.4</v>
      </c>
      <c r="H79" s="5">
        <v>2.58</v>
      </c>
      <c r="I79" s="5">
        <v>0</v>
      </c>
      <c r="J79" s="5">
        <v>2.9</v>
      </c>
      <c r="K79" s="5">
        <v>691112.6</v>
      </c>
      <c r="L79" s="5">
        <v>109212.83</v>
      </c>
      <c r="M79" s="12">
        <v>0</v>
      </c>
      <c r="N79" s="12">
        <v>0</v>
      </c>
      <c r="O79" s="12">
        <v>1</v>
      </c>
      <c r="P79" s="12">
        <v>0</v>
      </c>
      <c r="Q79" s="12">
        <v>1</v>
      </c>
      <c r="R79" s="12">
        <v>0</v>
      </c>
    </row>
    <row r="80" spans="1:18">
      <c r="A80" s="3" t="s">
        <v>41</v>
      </c>
      <c r="B80" s="4">
        <v>45717</v>
      </c>
      <c r="C80" s="5">
        <v>80562.81</v>
      </c>
      <c r="D80" s="5">
        <v>7470</v>
      </c>
      <c r="E80" s="5">
        <v>0.17199999999999999</v>
      </c>
      <c r="F80" s="5">
        <v>16</v>
      </c>
      <c r="G80" s="5">
        <v>83.5</v>
      </c>
      <c r="H80" s="5">
        <v>2.29</v>
      </c>
      <c r="I80" s="5">
        <v>0</v>
      </c>
      <c r="J80" s="5">
        <v>3.3</v>
      </c>
      <c r="K80" s="5">
        <v>776922.17</v>
      </c>
      <c r="L80" s="5">
        <v>150701.93</v>
      </c>
      <c r="M80" s="12">
        <v>0</v>
      </c>
      <c r="N80" s="12">
        <v>0</v>
      </c>
      <c r="O80" s="12">
        <v>1</v>
      </c>
      <c r="P80" s="12">
        <v>0</v>
      </c>
      <c r="Q80" s="12">
        <v>1</v>
      </c>
      <c r="R80" s="12">
        <v>0</v>
      </c>
    </row>
    <row r="81" spans="1:18">
      <c r="A81" s="3" t="s">
        <v>41</v>
      </c>
      <c r="B81" s="4">
        <v>45748</v>
      </c>
      <c r="C81" s="5">
        <v>77999.899999999994</v>
      </c>
      <c r="D81" s="5">
        <v>5974</v>
      </c>
      <c r="E81" s="5">
        <v>0.252</v>
      </c>
      <c r="F81" s="5">
        <v>14</v>
      </c>
      <c r="G81" s="5">
        <v>81.3</v>
      </c>
      <c r="H81" s="5">
        <v>2.39</v>
      </c>
      <c r="I81" s="5">
        <v>0</v>
      </c>
      <c r="J81" s="5">
        <v>3.2</v>
      </c>
      <c r="K81" s="5">
        <v>636561.34</v>
      </c>
      <c r="L81" s="5">
        <v>93861.06</v>
      </c>
      <c r="M81" s="12">
        <v>0</v>
      </c>
      <c r="N81" s="12">
        <v>0</v>
      </c>
      <c r="O81" s="12">
        <v>1</v>
      </c>
      <c r="P81" s="12">
        <v>0</v>
      </c>
      <c r="Q81" s="12">
        <v>1</v>
      </c>
      <c r="R81" s="12">
        <v>0</v>
      </c>
    </row>
    <row r="82" spans="1:18">
      <c r="A82" s="3" t="s">
        <v>42</v>
      </c>
      <c r="B82" s="4">
        <v>45658</v>
      </c>
      <c r="C82" s="5">
        <v>60881.01</v>
      </c>
      <c r="D82" s="5">
        <v>5410</v>
      </c>
      <c r="E82" s="5">
        <v>0.17899999999999999</v>
      </c>
      <c r="F82" s="5">
        <v>15</v>
      </c>
      <c r="G82" s="5">
        <v>83.9</v>
      </c>
      <c r="H82" s="5">
        <v>5.24</v>
      </c>
      <c r="I82" s="5">
        <v>0</v>
      </c>
      <c r="J82" s="5">
        <v>4.5999999999999996</v>
      </c>
      <c r="K82" s="5">
        <v>621369.57999999996</v>
      </c>
      <c r="L82" s="5">
        <v>85493.64</v>
      </c>
      <c r="M82" s="12">
        <v>1</v>
      </c>
      <c r="N82" s="12">
        <v>0</v>
      </c>
      <c r="O82" s="12">
        <v>0</v>
      </c>
      <c r="P82" s="12">
        <v>0</v>
      </c>
      <c r="Q82" s="12">
        <v>0</v>
      </c>
      <c r="R82" s="12">
        <v>1</v>
      </c>
    </row>
    <row r="83" spans="1:18">
      <c r="A83" s="3" t="s">
        <v>42</v>
      </c>
      <c r="B83" s="4">
        <v>45689</v>
      </c>
      <c r="C83" s="5">
        <v>60628.38</v>
      </c>
      <c r="D83" s="5">
        <v>4451</v>
      </c>
      <c r="E83" s="5">
        <v>9.5000000000000001E-2</v>
      </c>
      <c r="F83" s="5">
        <v>10</v>
      </c>
      <c r="G83" s="5">
        <v>89.6</v>
      </c>
      <c r="H83" s="5">
        <v>3.17</v>
      </c>
      <c r="I83" s="5">
        <v>0</v>
      </c>
      <c r="J83" s="5">
        <v>4.5999999999999996</v>
      </c>
      <c r="K83" s="5">
        <v>682208.01</v>
      </c>
      <c r="L83" s="5">
        <v>110318.84</v>
      </c>
      <c r="M83" s="12">
        <v>1</v>
      </c>
      <c r="N83" s="12">
        <v>0</v>
      </c>
      <c r="O83" s="12">
        <v>0</v>
      </c>
      <c r="P83" s="12">
        <v>0</v>
      </c>
      <c r="Q83" s="12">
        <v>0</v>
      </c>
      <c r="R83" s="12">
        <v>1</v>
      </c>
    </row>
    <row r="84" spans="1:18">
      <c r="A84" s="3" t="s">
        <v>42</v>
      </c>
      <c r="B84" s="4">
        <v>45717</v>
      </c>
      <c r="C84" s="5">
        <v>72731.14</v>
      </c>
      <c r="D84" s="5">
        <v>4644</v>
      </c>
      <c r="E84" s="5">
        <v>8.4000000000000005E-2</v>
      </c>
      <c r="F84" s="5">
        <v>15</v>
      </c>
      <c r="G84" s="5">
        <v>87.1</v>
      </c>
      <c r="H84" s="5">
        <v>2.66</v>
      </c>
      <c r="I84" s="5">
        <v>0</v>
      </c>
      <c r="J84" s="5">
        <v>4.5999999999999996</v>
      </c>
      <c r="K84" s="5">
        <v>727241.86</v>
      </c>
      <c r="L84" s="5">
        <v>155810.29999999999</v>
      </c>
      <c r="M84" s="12">
        <v>1</v>
      </c>
      <c r="N84" s="12">
        <v>0</v>
      </c>
      <c r="O84" s="12">
        <v>0</v>
      </c>
      <c r="P84" s="12">
        <v>0</v>
      </c>
      <c r="Q84" s="12">
        <v>0</v>
      </c>
      <c r="R84" s="12">
        <v>1</v>
      </c>
    </row>
    <row r="85" spans="1:18">
      <c r="A85" s="3" t="s">
        <v>42</v>
      </c>
      <c r="B85" s="4">
        <v>45748</v>
      </c>
      <c r="C85" s="5">
        <v>36475.71</v>
      </c>
      <c r="D85" s="5">
        <v>3559</v>
      </c>
      <c r="E85" s="5">
        <v>0.03</v>
      </c>
      <c r="F85" s="5">
        <v>8</v>
      </c>
      <c r="G85" s="5">
        <v>83.6</v>
      </c>
      <c r="H85" s="5">
        <v>1.41</v>
      </c>
      <c r="I85" s="5">
        <v>0</v>
      </c>
      <c r="J85" s="5">
        <v>4.2</v>
      </c>
      <c r="K85" s="5">
        <v>569100.78</v>
      </c>
      <c r="L85" s="5">
        <v>104808.78</v>
      </c>
      <c r="M85" s="12">
        <v>1</v>
      </c>
      <c r="N85" s="12">
        <v>0</v>
      </c>
      <c r="O85" s="12">
        <v>0</v>
      </c>
      <c r="P85" s="12">
        <v>0</v>
      </c>
      <c r="Q85" s="12">
        <v>0</v>
      </c>
      <c r="R85" s="12">
        <v>1</v>
      </c>
    </row>
    <row r="86" spans="1:18">
      <c r="A86" s="3" t="s">
        <v>43</v>
      </c>
      <c r="B86" s="4">
        <v>45658</v>
      </c>
      <c r="C86" s="5">
        <v>55388.11</v>
      </c>
      <c r="D86" s="5">
        <v>3091</v>
      </c>
      <c r="E86" s="5">
        <v>0.108</v>
      </c>
      <c r="F86" s="5">
        <v>7</v>
      </c>
      <c r="G86" s="5">
        <v>85.4</v>
      </c>
      <c r="H86" s="5">
        <v>7.34</v>
      </c>
      <c r="I86" s="5">
        <v>0</v>
      </c>
      <c r="J86" s="5">
        <v>4.9000000000000004</v>
      </c>
      <c r="K86" s="5">
        <v>574436.29</v>
      </c>
      <c r="L86" s="5">
        <v>80271.990000000005</v>
      </c>
      <c r="M86" s="12">
        <v>1</v>
      </c>
      <c r="N86" s="12">
        <v>0</v>
      </c>
      <c r="O86" s="12">
        <v>0</v>
      </c>
      <c r="P86" s="12">
        <v>0</v>
      </c>
      <c r="Q86" s="12">
        <v>1</v>
      </c>
      <c r="R86" s="12">
        <v>0</v>
      </c>
    </row>
    <row r="87" spans="1:18">
      <c r="A87" s="3" t="s">
        <v>43</v>
      </c>
      <c r="B87" s="4">
        <v>45689</v>
      </c>
      <c r="C87" s="5">
        <v>88443.77</v>
      </c>
      <c r="D87" s="5">
        <v>4004</v>
      </c>
      <c r="E87" s="5">
        <v>0.20599999999999999</v>
      </c>
      <c r="F87" s="5">
        <v>11</v>
      </c>
      <c r="G87" s="5">
        <v>91.9</v>
      </c>
      <c r="H87" s="5">
        <v>5.95</v>
      </c>
      <c r="I87" s="5">
        <v>0</v>
      </c>
      <c r="J87" s="5">
        <v>3.9</v>
      </c>
      <c r="K87" s="5">
        <v>611766.72</v>
      </c>
      <c r="L87" s="5">
        <v>88275.61</v>
      </c>
      <c r="M87" s="12">
        <v>1</v>
      </c>
      <c r="N87" s="12">
        <v>0</v>
      </c>
      <c r="O87" s="12">
        <v>0</v>
      </c>
      <c r="P87" s="12">
        <v>0</v>
      </c>
      <c r="Q87" s="12">
        <v>1</v>
      </c>
      <c r="R87" s="12">
        <v>0</v>
      </c>
    </row>
    <row r="88" spans="1:18">
      <c r="A88" s="3" t="s">
        <v>43</v>
      </c>
      <c r="B88" s="4">
        <v>45717</v>
      </c>
      <c r="C88" s="5">
        <v>78231.91</v>
      </c>
      <c r="D88" s="5">
        <v>3788</v>
      </c>
      <c r="E88" s="5">
        <v>5.8999999999999997E-2</v>
      </c>
      <c r="F88" s="5">
        <v>11</v>
      </c>
      <c r="G88" s="5">
        <v>88.5</v>
      </c>
      <c r="H88" s="5">
        <v>15.51</v>
      </c>
      <c r="I88" s="5">
        <v>0</v>
      </c>
      <c r="J88" s="5">
        <v>4.3</v>
      </c>
      <c r="K88" s="5">
        <v>614596.31999999995</v>
      </c>
      <c r="L88" s="5">
        <v>131199.41</v>
      </c>
      <c r="M88" s="12">
        <v>1</v>
      </c>
      <c r="N88" s="12">
        <v>0</v>
      </c>
      <c r="O88" s="12">
        <v>0</v>
      </c>
      <c r="P88" s="12">
        <v>0</v>
      </c>
      <c r="Q88" s="12">
        <v>1</v>
      </c>
      <c r="R88" s="12">
        <v>0</v>
      </c>
    </row>
    <row r="89" spans="1:18">
      <c r="A89" s="3" t="s">
        <v>43</v>
      </c>
      <c r="B89" s="4">
        <v>45748</v>
      </c>
      <c r="C89" s="5">
        <v>18996.32</v>
      </c>
      <c r="D89" s="5">
        <v>1260</v>
      </c>
      <c r="E89" s="5">
        <v>0.14499999999999999</v>
      </c>
      <c r="F89" s="5">
        <v>9</v>
      </c>
      <c r="G89" s="5">
        <v>86.4</v>
      </c>
      <c r="H89" s="5">
        <v>4.3099999999999996</v>
      </c>
      <c r="I89" s="5">
        <v>0</v>
      </c>
      <c r="J89" s="5">
        <v>4.5999999999999996</v>
      </c>
      <c r="K89" s="5">
        <v>450711.92</v>
      </c>
      <c r="L89" s="5">
        <v>90043.76</v>
      </c>
      <c r="M89" s="12">
        <v>1</v>
      </c>
      <c r="N89" s="12">
        <v>0</v>
      </c>
      <c r="O89" s="12">
        <v>0</v>
      </c>
      <c r="P89" s="12">
        <v>0</v>
      </c>
      <c r="Q89" s="12">
        <v>1</v>
      </c>
      <c r="R89" s="12">
        <v>0</v>
      </c>
    </row>
    <row r="90" spans="1:18">
      <c r="A90" s="3" t="s">
        <v>44</v>
      </c>
      <c r="B90" s="4">
        <v>45658</v>
      </c>
      <c r="C90" s="5">
        <v>50517.94</v>
      </c>
      <c r="D90" s="5">
        <v>7024</v>
      </c>
      <c r="E90" s="5">
        <v>2.9000000000000001E-2</v>
      </c>
      <c r="F90" s="5">
        <v>18</v>
      </c>
      <c r="G90" s="5">
        <v>79.2</v>
      </c>
      <c r="H90" s="5">
        <v>6.61</v>
      </c>
      <c r="I90" s="5">
        <v>1</v>
      </c>
      <c r="J90" s="5">
        <v>4.0999999999999996</v>
      </c>
      <c r="K90" s="5">
        <v>711213.46</v>
      </c>
      <c r="L90" s="5">
        <v>105863.26</v>
      </c>
      <c r="M90" s="12">
        <v>0</v>
      </c>
      <c r="N90" s="12">
        <v>0</v>
      </c>
      <c r="O90" s="12">
        <v>1</v>
      </c>
      <c r="P90" s="12">
        <v>0</v>
      </c>
      <c r="Q90" s="12">
        <v>0</v>
      </c>
      <c r="R90" s="12">
        <v>1</v>
      </c>
    </row>
    <row r="91" spans="1:18">
      <c r="A91" s="3" t="s">
        <v>44</v>
      </c>
      <c r="B91" s="4">
        <v>45689</v>
      </c>
      <c r="C91" s="5">
        <v>141540.29</v>
      </c>
      <c r="D91" s="5">
        <v>5400</v>
      </c>
      <c r="E91" s="5">
        <v>1.2999999999999999E-2</v>
      </c>
      <c r="F91" s="5">
        <v>12</v>
      </c>
      <c r="G91" s="5">
        <v>87</v>
      </c>
      <c r="H91" s="5">
        <v>4.26</v>
      </c>
      <c r="I91" s="5">
        <v>0</v>
      </c>
      <c r="J91" s="5">
        <v>4.5</v>
      </c>
      <c r="K91" s="5">
        <v>627171.9</v>
      </c>
      <c r="L91" s="5">
        <v>105772.75</v>
      </c>
      <c r="M91" s="12">
        <v>0</v>
      </c>
      <c r="N91" s="12">
        <v>0</v>
      </c>
      <c r="O91" s="12">
        <v>1</v>
      </c>
      <c r="P91" s="12">
        <v>0</v>
      </c>
      <c r="Q91" s="12">
        <v>0</v>
      </c>
      <c r="R91" s="12">
        <v>1</v>
      </c>
    </row>
    <row r="92" spans="1:18">
      <c r="A92" s="3" t="s">
        <v>44</v>
      </c>
      <c r="B92" s="4">
        <v>45717</v>
      </c>
      <c r="C92" s="5">
        <v>82116.19</v>
      </c>
      <c r="D92" s="5">
        <v>5988</v>
      </c>
      <c r="E92" s="5">
        <v>0.04</v>
      </c>
      <c r="F92" s="5">
        <v>17</v>
      </c>
      <c r="G92" s="5">
        <v>91.8</v>
      </c>
      <c r="H92" s="5">
        <v>5.75</v>
      </c>
      <c r="I92" s="5">
        <v>0</v>
      </c>
      <c r="J92" s="5">
        <v>4.7</v>
      </c>
      <c r="K92" s="5">
        <v>739852.58</v>
      </c>
      <c r="L92" s="5">
        <v>129386.43</v>
      </c>
      <c r="M92" s="12">
        <v>0</v>
      </c>
      <c r="N92" s="12">
        <v>0</v>
      </c>
      <c r="O92" s="12">
        <v>1</v>
      </c>
      <c r="P92" s="12">
        <v>0</v>
      </c>
      <c r="Q92" s="12">
        <v>0</v>
      </c>
      <c r="R92" s="12">
        <v>1</v>
      </c>
    </row>
    <row r="93" spans="1:18">
      <c r="A93" s="3" t="s">
        <v>44</v>
      </c>
      <c r="B93" s="4">
        <v>45748</v>
      </c>
      <c r="C93" s="5">
        <v>31207.51</v>
      </c>
      <c r="D93" s="5">
        <v>3701</v>
      </c>
      <c r="E93" s="5">
        <v>4.2999999999999997E-2</v>
      </c>
      <c r="F93" s="5">
        <v>11</v>
      </c>
      <c r="G93" s="5">
        <v>84.7</v>
      </c>
      <c r="H93" s="5">
        <v>0.33</v>
      </c>
      <c r="I93" s="5">
        <v>0</v>
      </c>
      <c r="J93" s="5">
        <v>4.3</v>
      </c>
      <c r="K93" s="5">
        <v>586307.22</v>
      </c>
      <c r="L93" s="5">
        <v>73927.850000000006</v>
      </c>
      <c r="M93" s="12">
        <v>0</v>
      </c>
      <c r="N93" s="12">
        <v>0</v>
      </c>
      <c r="O93" s="12">
        <v>1</v>
      </c>
      <c r="P93" s="12">
        <v>0</v>
      </c>
      <c r="Q93" s="12">
        <v>0</v>
      </c>
      <c r="R93" s="12">
        <v>1</v>
      </c>
    </row>
    <row r="94" spans="1:18">
      <c r="A94" s="3" t="s">
        <v>45</v>
      </c>
      <c r="B94" s="4">
        <v>45658</v>
      </c>
      <c r="C94" s="5">
        <v>38966.589999999997</v>
      </c>
      <c r="D94" s="5">
        <v>4509</v>
      </c>
      <c r="E94" s="5">
        <v>0.19400000000000001</v>
      </c>
      <c r="F94" s="5">
        <v>14</v>
      </c>
      <c r="G94" s="5">
        <v>91.1</v>
      </c>
      <c r="H94" s="5">
        <v>2.92</v>
      </c>
      <c r="I94" s="5">
        <v>0</v>
      </c>
      <c r="J94" s="5">
        <v>4.5999999999999996</v>
      </c>
      <c r="K94" s="5">
        <v>585937.48</v>
      </c>
      <c r="L94" s="5">
        <v>82624.2</v>
      </c>
      <c r="M94" s="12">
        <v>1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</row>
    <row r="95" spans="1:18">
      <c r="A95" s="3" t="s">
        <v>45</v>
      </c>
      <c r="B95" s="4">
        <v>45689</v>
      </c>
      <c r="C95" s="5">
        <v>67439.3</v>
      </c>
      <c r="D95" s="5">
        <v>6477</v>
      </c>
      <c r="E95" s="5">
        <v>0</v>
      </c>
      <c r="F95" s="5">
        <v>16</v>
      </c>
      <c r="G95" s="5">
        <v>90.9</v>
      </c>
      <c r="H95" s="5">
        <v>1.64</v>
      </c>
      <c r="I95" s="5">
        <v>0</v>
      </c>
      <c r="J95" s="5">
        <v>4.5</v>
      </c>
      <c r="K95" s="5">
        <v>753473.55</v>
      </c>
      <c r="L95" s="5">
        <v>151527.22</v>
      </c>
      <c r="M95" s="12">
        <v>1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</row>
    <row r="96" spans="1:18">
      <c r="A96" s="3" t="s">
        <v>45</v>
      </c>
      <c r="B96" s="4">
        <v>45717</v>
      </c>
      <c r="C96" s="5">
        <v>86421.88</v>
      </c>
      <c r="D96" s="5">
        <v>7970</v>
      </c>
      <c r="E96" s="5">
        <v>7.2999999999999995E-2</v>
      </c>
      <c r="F96" s="5">
        <v>17</v>
      </c>
      <c r="G96" s="5">
        <v>91.3</v>
      </c>
      <c r="H96" s="5">
        <v>0.8</v>
      </c>
      <c r="I96" s="5">
        <v>0</v>
      </c>
      <c r="J96" s="5">
        <v>5</v>
      </c>
      <c r="K96" s="5">
        <v>838250.32</v>
      </c>
      <c r="L96" s="5">
        <v>122939.34</v>
      </c>
      <c r="M96" s="12">
        <v>1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</row>
    <row r="97" spans="1:18">
      <c r="A97" s="3" t="s">
        <v>45</v>
      </c>
      <c r="B97" s="4">
        <v>45748</v>
      </c>
      <c r="C97" s="5">
        <v>9534.65</v>
      </c>
      <c r="D97" s="5">
        <v>6057</v>
      </c>
      <c r="E97" s="5">
        <v>7.3999999999999996E-2</v>
      </c>
      <c r="F97" s="5">
        <v>15</v>
      </c>
      <c r="G97" s="5">
        <v>94.1</v>
      </c>
      <c r="H97" s="5">
        <v>5.79</v>
      </c>
      <c r="I97" s="5">
        <v>0</v>
      </c>
      <c r="J97" s="5">
        <v>4.5</v>
      </c>
      <c r="K97" s="5">
        <v>607898.12</v>
      </c>
      <c r="L97" s="5">
        <v>135404.85</v>
      </c>
      <c r="M97" s="12">
        <v>1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</row>
    <row r="98" spans="1:18">
      <c r="A98" s="3" t="s">
        <v>46</v>
      </c>
      <c r="B98" s="4">
        <v>45658</v>
      </c>
      <c r="C98" s="5">
        <v>61132.07</v>
      </c>
      <c r="D98" s="5">
        <v>6394</v>
      </c>
      <c r="E98" s="5">
        <v>0.16300000000000001</v>
      </c>
      <c r="F98" s="5">
        <v>19</v>
      </c>
      <c r="G98" s="5">
        <v>91</v>
      </c>
      <c r="H98" s="5">
        <v>19.600000000000001</v>
      </c>
      <c r="I98" s="5">
        <v>0</v>
      </c>
      <c r="J98" s="5">
        <v>4.4000000000000004</v>
      </c>
      <c r="K98" s="5">
        <v>691113.62</v>
      </c>
      <c r="L98" s="5">
        <v>135145.44</v>
      </c>
      <c r="M98" s="12">
        <v>1</v>
      </c>
      <c r="N98" s="12">
        <v>0</v>
      </c>
      <c r="O98" s="12">
        <v>0</v>
      </c>
      <c r="P98" s="12">
        <v>0</v>
      </c>
      <c r="Q98" s="12">
        <v>0</v>
      </c>
      <c r="R98" s="12">
        <v>1</v>
      </c>
    </row>
    <row r="99" spans="1:18">
      <c r="A99" s="3" t="s">
        <v>46</v>
      </c>
      <c r="B99" s="4">
        <v>45689</v>
      </c>
      <c r="C99" s="5">
        <v>78839.39</v>
      </c>
      <c r="D99" s="5">
        <v>5150</v>
      </c>
      <c r="E99" s="5">
        <v>0.17100000000000001</v>
      </c>
      <c r="F99" s="5">
        <v>13</v>
      </c>
      <c r="G99" s="5">
        <v>85.8</v>
      </c>
      <c r="H99" s="5">
        <v>7.57</v>
      </c>
      <c r="I99" s="5">
        <v>0</v>
      </c>
      <c r="J99" s="5">
        <v>4.3</v>
      </c>
      <c r="K99" s="5">
        <v>735509.4</v>
      </c>
      <c r="L99" s="5">
        <v>83895.96</v>
      </c>
      <c r="M99" s="12">
        <v>1</v>
      </c>
      <c r="N99" s="12">
        <v>0</v>
      </c>
      <c r="O99" s="12">
        <v>0</v>
      </c>
      <c r="P99" s="12">
        <v>0</v>
      </c>
      <c r="Q99" s="12">
        <v>0</v>
      </c>
      <c r="R99" s="12">
        <v>1</v>
      </c>
    </row>
    <row r="100" spans="1:18">
      <c r="A100" s="3" t="s">
        <v>46</v>
      </c>
      <c r="B100" s="4">
        <v>45717</v>
      </c>
      <c r="C100" s="5">
        <v>38752.800000000003</v>
      </c>
      <c r="D100" s="5">
        <v>4712</v>
      </c>
      <c r="E100" s="5">
        <v>7.4999999999999997E-2</v>
      </c>
      <c r="F100" s="5">
        <v>15</v>
      </c>
      <c r="G100" s="5">
        <v>89.7</v>
      </c>
      <c r="H100" s="5">
        <v>3.37</v>
      </c>
      <c r="I100" s="5">
        <v>0</v>
      </c>
      <c r="J100" s="5">
        <v>4.3</v>
      </c>
      <c r="K100" s="5">
        <v>605775.32999999996</v>
      </c>
      <c r="L100" s="5">
        <v>107194.6</v>
      </c>
      <c r="M100" s="12">
        <v>1</v>
      </c>
      <c r="N100" s="12">
        <v>0</v>
      </c>
      <c r="O100" s="12">
        <v>0</v>
      </c>
      <c r="P100" s="12">
        <v>0</v>
      </c>
      <c r="Q100" s="12">
        <v>0</v>
      </c>
      <c r="R100" s="12">
        <v>1</v>
      </c>
    </row>
    <row r="101" spans="1:18">
      <c r="A101" s="3" t="s">
        <v>46</v>
      </c>
      <c r="B101" s="4">
        <v>45748</v>
      </c>
      <c r="C101" s="5">
        <v>55101.1</v>
      </c>
      <c r="D101" s="5">
        <v>5281</v>
      </c>
      <c r="E101" s="5">
        <v>0.189</v>
      </c>
      <c r="F101" s="5">
        <v>11</v>
      </c>
      <c r="G101" s="5">
        <v>91</v>
      </c>
      <c r="H101" s="5">
        <v>2.7</v>
      </c>
      <c r="I101" s="5">
        <v>0</v>
      </c>
      <c r="J101" s="5">
        <v>4.4000000000000004</v>
      </c>
      <c r="K101" s="5">
        <v>675177.68</v>
      </c>
      <c r="L101" s="5">
        <v>105628.68</v>
      </c>
      <c r="M101" s="12">
        <v>1</v>
      </c>
      <c r="N101" s="12">
        <v>0</v>
      </c>
      <c r="O101" s="12">
        <v>0</v>
      </c>
      <c r="P101" s="12">
        <v>0</v>
      </c>
      <c r="Q101" s="12">
        <v>0</v>
      </c>
      <c r="R101" s="12">
        <v>1</v>
      </c>
    </row>
    <row r="102" spans="1:18">
      <c r="A102" s="3" t="s">
        <v>47</v>
      </c>
      <c r="B102" s="4">
        <v>45658</v>
      </c>
      <c r="C102" s="5">
        <v>53084.76</v>
      </c>
      <c r="D102" s="5">
        <v>3642</v>
      </c>
      <c r="E102" s="5">
        <v>0.15</v>
      </c>
      <c r="F102" s="5">
        <v>12</v>
      </c>
      <c r="G102" s="5">
        <v>91.4</v>
      </c>
      <c r="H102" s="5">
        <v>0.2</v>
      </c>
      <c r="I102" s="5">
        <v>0</v>
      </c>
      <c r="J102" s="5">
        <v>4.4000000000000004</v>
      </c>
      <c r="K102" s="5">
        <v>635181.35</v>
      </c>
      <c r="L102" s="5">
        <v>83341.25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1</v>
      </c>
    </row>
    <row r="103" spans="1:18">
      <c r="A103" s="3" t="s">
        <v>47</v>
      </c>
      <c r="B103" s="4">
        <v>45689</v>
      </c>
      <c r="C103" s="5">
        <v>63101.59</v>
      </c>
      <c r="D103" s="5">
        <v>4373</v>
      </c>
      <c r="E103" s="5">
        <v>0.17299999999999999</v>
      </c>
      <c r="F103" s="5">
        <v>14</v>
      </c>
      <c r="G103" s="5">
        <v>90.4</v>
      </c>
      <c r="H103" s="5">
        <v>7.87</v>
      </c>
      <c r="I103" s="5">
        <v>0</v>
      </c>
      <c r="J103" s="5">
        <v>4.7</v>
      </c>
      <c r="K103" s="5">
        <v>586626.93999999994</v>
      </c>
      <c r="L103" s="5">
        <v>86498.55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1</v>
      </c>
    </row>
    <row r="104" spans="1:18">
      <c r="A104" s="3" t="s">
        <v>47</v>
      </c>
      <c r="B104" s="4">
        <v>45717</v>
      </c>
      <c r="C104" s="5">
        <v>90084.4</v>
      </c>
      <c r="D104" s="5">
        <v>6832</v>
      </c>
      <c r="E104" s="5">
        <v>0.185</v>
      </c>
      <c r="F104" s="5">
        <v>14</v>
      </c>
      <c r="G104" s="5">
        <v>80.5</v>
      </c>
      <c r="H104" s="5">
        <v>0.77</v>
      </c>
      <c r="I104" s="5">
        <v>1</v>
      </c>
      <c r="J104" s="5">
        <v>4.4000000000000004</v>
      </c>
      <c r="K104" s="5">
        <v>740102.64</v>
      </c>
      <c r="L104" s="5">
        <v>114299.07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1</v>
      </c>
    </row>
    <row r="105" spans="1:18">
      <c r="A105" s="3" t="s">
        <v>47</v>
      </c>
      <c r="B105" s="4">
        <v>45748</v>
      </c>
      <c r="C105" s="5">
        <v>32266.639999999999</v>
      </c>
      <c r="D105" s="5">
        <v>2414</v>
      </c>
      <c r="E105" s="5">
        <v>0.08</v>
      </c>
      <c r="F105" s="5">
        <v>7</v>
      </c>
      <c r="G105" s="5">
        <v>92.1</v>
      </c>
      <c r="H105" s="5">
        <v>1.48</v>
      </c>
      <c r="I105" s="5">
        <v>0</v>
      </c>
      <c r="J105" s="5">
        <v>5</v>
      </c>
      <c r="K105" s="5">
        <v>625514.04</v>
      </c>
      <c r="L105" s="5">
        <v>120685.08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1</v>
      </c>
    </row>
    <row r="106" spans="1:18">
      <c r="A106" s="3" t="s">
        <v>48</v>
      </c>
      <c r="B106" s="4">
        <v>45658</v>
      </c>
      <c r="C106" s="5">
        <v>57919.07</v>
      </c>
      <c r="D106" s="5">
        <v>7374</v>
      </c>
      <c r="E106" s="5">
        <v>0.10299999999999999</v>
      </c>
      <c r="F106" s="5">
        <v>21</v>
      </c>
      <c r="G106" s="5">
        <v>82.3</v>
      </c>
      <c r="H106" s="5">
        <v>2.87</v>
      </c>
      <c r="I106" s="5">
        <v>0</v>
      </c>
      <c r="J106" s="5">
        <v>2.9</v>
      </c>
      <c r="K106" s="5">
        <v>727227.2</v>
      </c>
      <c r="L106" s="5">
        <v>121292.01</v>
      </c>
      <c r="M106" s="12">
        <v>1</v>
      </c>
      <c r="N106" s="12">
        <v>0</v>
      </c>
      <c r="O106" s="12">
        <v>0</v>
      </c>
      <c r="P106" s="12">
        <v>0</v>
      </c>
      <c r="Q106" s="12">
        <v>1</v>
      </c>
      <c r="R106" s="12">
        <v>0</v>
      </c>
    </row>
    <row r="107" spans="1:18">
      <c r="A107" s="3" t="s">
        <v>48</v>
      </c>
      <c r="B107" s="4">
        <v>45689</v>
      </c>
      <c r="C107" s="5">
        <v>74679.350000000006</v>
      </c>
      <c r="D107" s="5">
        <v>8739</v>
      </c>
      <c r="E107" s="5">
        <v>5.6000000000000001E-2</v>
      </c>
      <c r="F107" s="5">
        <v>21</v>
      </c>
      <c r="G107" s="5">
        <v>91.8</v>
      </c>
      <c r="H107" s="5">
        <v>2.83</v>
      </c>
      <c r="I107" s="5">
        <v>0</v>
      </c>
      <c r="J107" s="5">
        <v>3</v>
      </c>
      <c r="K107" s="5">
        <v>783797.89</v>
      </c>
      <c r="L107" s="5">
        <v>157620.70000000001</v>
      </c>
      <c r="M107" s="12">
        <v>1</v>
      </c>
      <c r="N107" s="12">
        <v>0</v>
      </c>
      <c r="O107" s="12">
        <v>0</v>
      </c>
      <c r="P107" s="12">
        <v>0</v>
      </c>
      <c r="Q107" s="12">
        <v>1</v>
      </c>
      <c r="R107" s="12">
        <v>0</v>
      </c>
    </row>
    <row r="108" spans="1:18">
      <c r="A108" s="3" t="s">
        <v>48</v>
      </c>
      <c r="B108" s="4">
        <v>45717</v>
      </c>
      <c r="C108" s="5">
        <v>64294.23</v>
      </c>
      <c r="D108" s="5">
        <v>6992</v>
      </c>
      <c r="E108" s="5">
        <v>0.13300000000000001</v>
      </c>
      <c r="F108" s="5">
        <v>14</v>
      </c>
      <c r="G108" s="5">
        <v>94.1</v>
      </c>
      <c r="H108" s="5">
        <v>0.25</v>
      </c>
      <c r="I108" s="5">
        <v>0</v>
      </c>
      <c r="J108" s="5">
        <v>3</v>
      </c>
      <c r="K108" s="5">
        <v>795153.84</v>
      </c>
      <c r="L108" s="5">
        <v>143194.21</v>
      </c>
      <c r="M108" s="12">
        <v>1</v>
      </c>
      <c r="N108" s="12">
        <v>0</v>
      </c>
      <c r="O108" s="12">
        <v>0</v>
      </c>
      <c r="P108" s="12">
        <v>0</v>
      </c>
      <c r="Q108" s="12">
        <v>1</v>
      </c>
      <c r="R108" s="12">
        <v>0</v>
      </c>
    </row>
    <row r="109" spans="1:18">
      <c r="A109" s="3" t="s">
        <v>48</v>
      </c>
      <c r="B109" s="4">
        <v>45748</v>
      </c>
      <c r="C109" s="5">
        <v>31042.03</v>
      </c>
      <c r="D109" s="5">
        <v>7107</v>
      </c>
      <c r="E109" s="5">
        <v>5.0999999999999997E-2</v>
      </c>
      <c r="F109" s="5">
        <v>15</v>
      </c>
      <c r="G109" s="5">
        <v>87</v>
      </c>
      <c r="H109" s="5">
        <v>13.33</v>
      </c>
      <c r="I109" s="5">
        <v>0</v>
      </c>
      <c r="J109" s="5">
        <v>3.2</v>
      </c>
      <c r="K109" s="5">
        <v>665594.93999999994</v>
      </c>
      <c r="L109" s="5">
        <v>127597.34</v>
      </c>
      <c r="M109" s="12">
        <v>1</v>
      </c>
      <c r="N109" s="12">
        <v>0</v>
      </c>
      <c r="O109" s="12">
        <v>0</v>
      </c>
      <c r="P109" s="12">
        <v>0</v>
      </c>
      <c r="Q109" s="12">
        <v>1</v>
      </c>
      <c r="R109" s="12">
        <v>0</v>
      </c>
    </row>
    <row r="110" spans="1:18">
      <c r="A110" s="3" t="s">
        <v>49</v>
      </c>
      <c r="B110" s="4">
        <v>45658</v>
      </c>
      <c r="C110" s="5">
        <v>75265.02</v>
      </c>
      <c r="D110" s="5">
        <v>6975</v>
      </c>
      <c r="E110" s="5">
        <v>0.157</v>
      </c>
      <c r="F110" s="5">
        <v>20</v>
      </c>
      <c r="G110" s="5">
        <v>73.8</v>
      </c>
      <c r="H110" s="5">
        <v>6.35</v>
      </c>
      <c r="I110" s="5">
        <v>1</v>
      </c>
      <c r="J110" s="5">
        <v>3.8</v>
      </c>
      <c r="K110" s="5">
        <v>709478.39</v>
      </c>
      <c r="L110" s="5">
        <v>71294.27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1</v>
      </c>
    </row>
    <row r="111" spans="1:18">
      <c r="A111" s="3" t="s">
        <v>49</v>
      </c>
      <c r="B111" s="4">
        <v>45689</v>
      </c>
      <c r="C111" s="5">
        <v>69411.7</v>
      </c>
      <c r="D111" s="5">
        <v>5493</v>
      </c>
      <c r="E111" s="5">
        <v>0.29199999999999998</v>
      </c>
      <c r="F111" s="5">
        <v>13</v>
      </c>
      <c r="G111" s="5">
        <v>86.5</v>
      </c>
      <c r="H111" s="5">
        <v>6.69</v>
      </c>
      <c r="I111" s="5">
        <v>0</v>
      </c>
      <c r="J111" s="5">
        <v>3.8</v>
      </c>
      <c r="K111" s="5">
        <v>664162.49</v>
      </c>
      <c r="L111" s="5">
        <v>98291.06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1</v>
      </c>
    </row>
    <row r="112" spans="1:18">
      <c r="A112" s="3" t="s">
        <v>49</v>
      </c>
      <c r="B112" s="4">
        <v>45717</v>
      </c>
      <c r="C112" s="5">
        <v>51056.15</v>
      </c>
      <c r="D112" s="5">
        <v>5686</v>
      </c>
      <c r="E112" s="5">
        <v>8.8999999999999996E-2</v>
      </c>
      <c r="F112" s="5">
        <v>13</v>
      </c>
      <c r="G112" s="5">
        <v>89.9</v>
      </c>
      <c r="H112" s="5">
        <v>1.28</v>
      </c>
      <c r="I112" s="5">
        <v>0</v>
      </c>
      <c r="J112" s="5">
        <v>4.2</v>
      </c>
      <c r="K112" s="5">
        <v>633494.21</v>
      </c>
      <c r="L112" s="5">
        <v>105739.47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1</v>
      </c>
    </row>
    <row r="113" spans="1:18">
      <c r="A113" s="3" t="s">
        <v>49</v>
      </c>
      <c r="B113" s="4">
        <v>45748</v>
      </c>
      <c r="C113" s="5">
        <v>52758.01</v>
      </c>
      <c r="D113" s="5">
        <v>4063</v>
      </c>
      <c r="E113" s="5">
        <v>5.7000000000000002E-2</v>
      </c>
      <c r="F113" s="5">
        <v>12</v>
      </c>
      <c r="G113" s="5">
        <v>91.7</v>
      </c>
      <c r="H113" s="5">
        <v>0.92</v>
      </c>
      <c r="I113" s="5">
        <v>0</v>
      </c>
      <c r="J113" s="5">
        <v>3.5</v>
      </c>
      <c r="K113" s="5">
        <v>713611.16</v>
      </c>
      <c r="L113" s="5">
        <v>129717.18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1</v>
      </c>
    </row>
    <row r="114" spans="1:18">
      <c r="A114" s="3" t="s">
        <v>50</v>
      </c>
      <c r="B114" s="4">
        <v>45658</v>
      </c>
      <c r="C114" s="5">
        <v>61426.04</v>
      </c>
      <c r="D114" s="5">
        <v>8966</v>
      </c>
      <c r="E114" s="5">
        <v>0.17299999999999999</v>
      </c>
      <c r="F114" s="5">
        <v>22</v>
      </c>
      <c r="G114" s="5">
        <v>76.400000000000006</v>
      </c>
      <c r="H114" s="5">
        <v>1.05</v>
      </c>
      <c r="I114" s="5">
        <v>0</v>
      </c>
      <c r="J114" s="5">
        <v>3.1</v>
      </c>
      <c r="K114" s="5">
        <v>778397.97</v>
      </c>
      <c r="L114" s="5">
        <v>120044.41</v>
      </c>
      <c r="M114" s="12">
        <v>1</v>
      </c>
      <c r="N114" s="12">
        <v>0</v>
      </c>
      <c r="O114" s="12">
        <v>0</v>
      </c>
      <c r="P114" s="12">
        <v>0</v>
      </c>
      <c r="Q114" s="12">
        <v>0</v>
      </c>
      <c r="R114" s="12">
        <v>1</v>
      </c>
    </row>
    <row r="115" spans="1:18">
      <c r="A115" s="3" t="s">
        <v>50</v>
      </c>
      <c r="B115" s="4">
        <v>45689</v>
      </c>
      <c r="C115" s="5">
        <v>80176.34</v>
      </c>
      <c r="D115" s="5">
        <v>9489</v>
      </c>
      <c r="E115" s="5">
        <v>0.14199999999999999</v>
      </c>
      <c r="F115" s="5">
        <v>22</v>
      </c>
      <c r="G115" s="5">
        <v>94.3</v>
      </c>
      <c r="H115" s="5">
        <v>2.67</v>
      </c>
      <c r="I115" s="5">
        <v>0</v>
      </c>
      <c r="J115" s="5">
        <v>3.5</v>
      </c>
      <c r="K115" s="5">
        <v>873380.02</v>
      </c>
      <c r="L115" s="5">
        <v>149734.76</v>
      </c>
      <c r="M115" s="12">
        <v>1</v>
      </c>
      <c r="N115" s="12">
        <v>0</v>
      </c>
      <c r="O115" s="12">
        <v>0</v>
      </c>
      <c r="P115" s="12">
        <v>0</v>
      </c>
      <c r="Q115" s="12">
        <v>0</v>
      </c>
      <c r="R115" s="12">
        <v>1</v>
      </c>
    </row>
    <row r="116" spans="1:18">
      <c r="A116" s="3" t="s">
        <v>50</v>
      </c>
      <c r="B116" s="4">
        <v>45717</v>
      </c>
      <c r="C116" s="5">
        <v>33605.18</v>
      </c>
      <c r="D116" s="5">
        <v>9225</v>
      </c>
      <c r="E116" s="5">
        <v>0.159</v>
      </c>
      <c r="F116" s="5">
        <v>23</v>
      </c>
      <c r="G116" s="5">
        <v>88.4</v>
      </c>
      <c r="H116" s="5">
        <v>5.91</v>
      </c>
      <c r="I116" s="5">
        <v>0</v>
      </c>
      <c r="J116" s="5">
        <v>2.8</v>
      </c>
      <c r="K116" s="5">
        <v>697287.9</v>
      </c>
      <c r="L116" s="5">
        <v>128208.33</v>
      </c>
      <c r="M116" s="12">
        <v>1</v>
      </c>
      <c r="N116" s="12">
        <v>0</v>
      </c>
      <c r="O116" s="12">
        <v>0</v>
      </c>
      <c r="P116" s="12">
        <v>0</v>
      </c>
      <c r="Q116" s="12">
        <v>0</v>
      </c>
      <c r="R116" s="12">
        <v>1</v>
      </c>
    </row>
    <row r="117" spans="1:18">
      <c r="A117" s="3" t="s">
        <v>50</v>
      </c>
      <c r="B117" s="4">
        <v>45748</v>
      </c>
      <c r="C117" s="5">
        <v>25990.54</v>
      </c>
      <c r="D117" s="5">
        <v>9249</v>
      </c>
      <c r="E117" s="5">
        <v>0.13900000000000001</v>
      </c>
      <c r="F117" s="5">
        <v>23</v>
      </c>
      <c r="G117" s="5">
        <v>92.5</v>
      </c>
      <c r="H117" s="5">
        <v>6.37</v>
      </c>
      <c r="I117" s="5">
        <v>0</v>
      </c>
      <c r="J117" s="5">
        <v>3.3</v>
      </c>
      <c r="K117" s="5">
        <v>718074.79</v>
      </c>
      <c r="L117" s="5">
        <v>115819.87</v>
      </c>
      <c r="M117" s="12">
        <v>1</v>
      </c>
      <c r="N117" s="12">
        <v>0</v>
      </c>
      <c r="O117" s="12">
        <v>0</v>
      </c>
      <c r="P117" s="12">
        <v>0</v>
      </c>
      <c r="Q117" s="12">
        <v>0</v>
      </c>
      <c r="R117" s="12">
        <v>1</v>
      </c>
    </row>
    <row r="118" spans="1:18">
      <c r="A118" s="3" t="s">
        <v>51</v>
      </c>
      <c r="B118" s="4">
        <v>45658</v>
      </c>
      <c r="C118" s="5">
        <v>43685.14</v>
      </c>
      <c r="D118" s="5">
        <v>7821</v>
      </c>
      <c r="E118" s="5">
        <v>0.19</v>
      </c>
      <c r="F118" s="5">
        <v>17</v>
      </c>
      <c r="G118" s="5">
        <v>91</v>
      </c>
      <c r="H118" s="5">
        <v>2.4900000000000002</v>
      </c>
      <c r="I118" s="5">
        <v>1</v>
      </c>
      <c r="J118" s="5">
        <v>4.7</v>
      </c>
      <c r="K118" s="5">
        <v>714942.43</v>
      </c>
      <c r="L118" s="5">
        <v>94697.71</v>
      </c>
      <c r="M118" s="12">
        <v>1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</row>
    <row r="119" spans="1:18">
      <c r="A119" s="3" t="s">
        <v>51</v>
      </c>
      <c r="B119" s="4">
        <v>45689</v>
      </c>
      <c r="C119" s="5">
        <v>57360.01</v>
      </c>
      <c r="D119" s="5">
        <v>8434</v>
      </c>
      <c r="E119" s="5">
        <v>0.151</v>
      </c>
      <c r="F119" s="5">
        <v>19</v>
      </c>
      <c r="G119" s="5">
        <v>84.1</v>
      </c>
      <c r="H119" s="5">
        <v>1.56</v>
      </c>
      <c r="I119" s="5">
        <v>0</v>
      </c>
      <c r="J119" s="5">
        <v>4.7</v>
      </c>
      <c r="K119" s="5">
        <v>820519.04</v>
      </c>
      <c r="L119" s="5">
        <v>99035.88</v>
      </c>
      <c r="M119" s="12">
        <v>1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</row>
    <row r="120" spans="1:18">
      <c r="A120" s="3" t="s">
        <v>51</v>
      </c>
      <c r="B120" s="4">
        <v>45717</v>
      </c>
      <c r="C120" s="5">
        <v>42415.47</v>
      </c>
      <c r="D120" s="5">
        <v>8512</v>
      </c>
      <c r="E120" s="5">
        <v>0.13300000000000001</v>
      </c>
      <c r="F120" s="5">
        <v>18</v>
      </c>
      <c r="G120" s="5">
        <v>96.8</v>
      </c>
      <c r="H120" s="5">
        <v>14.95</v>
      </c>
      <c r="I120" s="5">
        <v>0</v>
      </c>
      <c r="J120" s="5">
        <v>4.5999999999999996</v>
      </c>
      <c r="K120" s="5">
        <v>684217.32</v>
      </c>
      <c r="L120" s="5">
        <v>136217.19</v>
      </c>
      <c r="M120" s="12">
        <v>1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</row>
    <row r="121" spans="1:18">
      <c r="A121" s="3" t="s">
        <v>51</v>
      </c>
      <c r="B121" s="4">
        <v>45748</v>
      </c>
      <c r="C121" s="5">
        <v>54968.98</v>
      </c>
      <c r="D121" s="5">
        <v>7816</v>
      </c>
      <c r="E121" s="5">
        <v>0.23200000000000001</v>
      </c>
      <c r="F121" s="5">
        <v>19</v>
      </c>
      <c r="G121" s="5">
        <v>95.7</v>
      </c>
      <c r="H121" s="5">
        <v>7.85</v>
      </c>
      <c r="I121" s="5">
        <v>0</v>
      </c>
      <c r="J121" s="5">
        <v>4.7</v>
      </c>
      <c r="K121" s="5">
        <v>735480.19</v>
      </c>
      <c r="L121" s="5">
        <v>88342.11</v>
      </c>
      <c r="M121" s="12">
        <v>1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</row>
    <row r="122" spans="1:18">
      <c r="A122" s="3" t="s">
        <v>52</v>
      </c>
      <c r="B122" s="4">
        <v>45658</v>
      </c>
      <c r="C122" s="5">
        <v>43896.13</v>
      </c>
      <c r="D122" s="5">
        <v>3853</v>
      </c>
      <c r="E122" s="5">
        <v>8.7999999999999995E-2</v>
      </c>
      <c r="F122" s="5">
        <v>13</v>
      </c>
      <c r="G122" s="5">
        <v>83</v>
      </c>
      <c r="H122" s="5">
        <v>6.8</v>
      </c>
      <c r="I122" s="5">
        <v>0</v>
      </c>
      <c r="J122" s="5">
        <v>4.4000000000000004</v>
      </c>
      <c r="K122" s="5">
        <v>509484.81</v>
      </c>
      <c r="L122" s="5">
        <v>85742.36</v>
      </c>
      <c r="M122" s="12">
        <v>0</v>
      </c>
      <c r="N122" s="12">
        <v>1</v>
      </c>
      <c r="O122" s="12">
        <v>0</v>
      </c>
      <c r="P122" s="12">
        <v>0</v>
      </c>
      <c r="Q122" s="12">
        <v>1</v>
      </c>
      <c r="R122" s="12">
        <v>0</v>
      </c>
    </row>
    <row r="123" spans="1:18">
      <c r="A123" s="3" t="s">
        <v>52</v>
      </c>
      <c r="B123" s="4">
        <v>45689</v>
      </c>
      <c r="C123" s="5">
        <v>83044.17</v>
      </c>
      <c r="D123" s="5">
        <v>3694</v>
      </c>
      <c r="E123" s="5">
        <v>0</v>
      </c>
      <c r="F123" s="5">
        <v>14</v>
      </c>
      <c r="G123" s="5">
        <v>89.4</v>
      </c>
      <c r="H123" s="5">
        <v>2.2000000000000002</v>
      </c>
      <c r="I123" s="5">
        <v>0</v>
      </c>
      <c r="J123" s="5">
        <v>3.7</v>
      </c>
      <c r="K123" s="5">
        <v>654317.09</v>
      </c>
      <c r="L123" s="5">
        <v>121446.89</v>
      </c>
      <c r="M123" s="12">
        <v>0</v>
      </c>
      <c r="N123" s="12">
        <v>1</v>
      </c>
      <c r="O123" s="12">
        <v>0</v>
      </c>
      <c r="P123" s="12">
        <v>0</v>
      </c>
      <c r="Q123" s="12">
        <v>1</v>
      </c>
      <c r="R123" s="12">
        <v>0</v>
      </c>
    </row>
    <row r="124" spans="1:18">
      <c r="A124" s="3" t="s">
        <v>52</v>
      </c>
      <c r="B124" s="4">
        <v>45717</v>
      </c>
      <c r="C124" s="5">
        <v>48396.13</v>
      </c>
      <c r="D124" s="5">
        <v>4423</v>
      </c>
      <c r="E124" s="5">
        <v>6.9000000000000006E-2</v>
      </c>
      <c r="F124" s="5">
        <v>15</v>
      </c>
      <c r="G124" s="5">
        <v>85.7</v>
      </c>
      <c r="H124" s="5">
        <v>1.88</v>
      </c>
      <c r="I124" s="5">
        <v>0</v>
      </c>
      <c r="J124" s="5">
        <v>3.9</v>
      </c>
      <c r="K124" s="5">
        <v>557487.26</v>
      </c>
      <c r="L124" s="5">
        <v>76432.19</v>
      </c>
      <c r="M124" s="12">
        <v>0</v>
      </c>
      <c r="N124" s="12">
        <v>1</v>
      </c>
      <c r="O124" s="12">
        <v>0</v>
      </c>
      <c r="P124" s="12">
        <v>0</v>
      </c>
      <c r="Q124" s="12">
        <v>1</v>
      </c>
      <c r="R124" s="12">
        <v>0</v>
      </c>
    </row>
    <row r="125" spans="1:18">
      <c r="A125" s="3" t="s">
        <v>52</v>
      </c>
      <c r="B125" s="4">
        <v>45748</v>
      </c>
      <c r="C125" s="5">
        <v>19063.48</v>
      </c>
      <c r="D125" s="5">
        <v>1906</v>
      </c>
      <c r="E125" s="5">
        <v>0.216</v>
      </c>
      <c r="F125" s="5">
        <v>10</v>
      </c>
      <c r="G125" s="5">
        <v>97.8</v>
      </c>
      <c r="H125" s="5">
        <v>15.79</v>
      </c>
      <c r="I125" s="5">
        <v>0</v>
      </c>
      <c r="J125" s="5">
        <v>4.4000000000000004</v>
      </c>
      <c r="K125" s="5">
        <v>441275.42</v>
      </c>
      <c r="L125" s="5">
        <v>58234.87</v>
      </c>
      <c r="M125" s="12">
        <v>0</v>
      </c>
      <c r="N125" s="12">
        <v>1</v>
      </c>
      <c r="O125" s="12">
        <v>0</v>
      </c>
      <c r="P125" s="12">
        <v>0</v>
      </c>
      <c r="Q125" s="12">
        <v>1</v>
      </c>
      <c r="R125" s="12">
        <v>0</v>
      </c>
    </row>
    <row r="126" spans="1:18">
      <c r="A126" s="3" t="s">
        <v>53</v>
      </c>
      <c r="B126" s="4">
        <v>45658</v>
      </c>
      <c r="C126" s="5">
        <v>61541.21</v>
      </c>
      <c r="D126" s="5">
        <v>10396</v>
      </c>
      <c r="E126" s="5">
        <v>0.123</v>
      </c>
      <c r="F126" s="5">
        <v>25</v>
      </c>
      <c r="G126" s="5">
        <v>88.1</v>
      </c>
      <c r="H126" s="5">
        <v>2.34</v>
      </c>
      <c r="I126" s="5">
        <v>1</v>
      </c>
      <c r="J126" s="5">
        <v>4.8</v>
      </c>
      <c r="K126" s="5">
        <v>914544.17</v>
      </c>
      <c r="L126" s="5">
        <v>79831.73</v>
      </c>
      <c r="M126" s="12">
        <v>0</v>
      </c>
      <c r="N126" s="12">
        <v>0</v>
      </c>
      <c r="O126" s="12">
        <v>1</v>
      </c>
      <c r="P126" s="12">
        <v>0</v>
      </c>
      <c r="Q126" s="12">
        <v>1</v>
      </c>
      <c r="R126" s="12">
        <v>0</v>
      </c>
    </row>
    <row r="127" spans="1:18">
      <c r="A127" s="3" t="s">
        <v>53</v>
      </c>
      <c r="B127" s="4">
        <v>45689</v>
      </c>
      <c r="C127" s="5">
        <v>44747</v>
      </c>
      <c r="D127" s="5">
        <v>11076</v>
      </c>
      <c r="E127" s="5">
        <v>0.17599999999999999</v>
      </c>
      <c r="F127" s="5">
        <v>27</v>
      </c>
      <c r="G127" s="5">
        <v>98.3</v>
      </c>
      <c r="H127" s="5">
        <v>0.54</v>
      </c>
      <c r="I127" s="5">
        <v>0</v>
      </c>
      <c r="J127" s="5">
        <v>4.4000000000000004</v>
      </c>
      <c r="K127" s="5">
        <v>842439.67</v>
      </c>
      <c r="L127" s="5">
        <v>169983.63</v>
      </c>
      <c r="M127" s="12">
        <v>0</v>
      </c>
      <c r="N127" s="12">
        <v>0</v>
      </c>
      <c r="O127" s="12">
        <v>1</v>
      </c>
      <c r="P127" s="12">
        <v>0</v>
      </c>
      <c r="Q127" s="12">
        <v>1</v>
      </c>
      <c r="R127" s="12">
        <v>0</v>
      </c>
    </row>
    <row r="128" spans="1:18">
      <c r="A128" s="3" t="s">
        <v>53</v>
      </c>
      <c r="B128" s="4">
        <v>45717</v>
      </c>
      <c r="C128" s="5">
        <v>56517.9</v>
      </c>
      <c r="D128" s="5">
        <v>9574</v>
      </c>
      <c r="E128" s="5">
        <v>0.20399999999999999</v>
      </c>
      <c r="F128" s="5">
        <v>20</v>
      </c>
      <c r="G128" s="5">
        <v>88.2</v>
      </c>
      <c r="H128" s="5">
        <v>5.37</v>
      </c>
      <c r="I128" s="5">
        <v>1</v>
      </c>
      <c r="J128" s="5">
        <v>4.9000000000000004</v>
      </c>
      <c r="K128" s="5">
        <v>842157.92</v>
      </c>
      <c r="L128" s="5">
        <v>107348.22</v>
      </c>
      <c r="M128" s="12">
        <v>0</v>
      </c>
      <c r="N128" s="12">
        <v>0</v>
      </c>
      <c r="O128" s="12">
        <v>1</v>
      </c>
      <c r="P128" s="12">
        <v>0</v>
      </c>
      <c r="Q128" s="12">
        <v>1</v>
      </c>
      <c r="R128" s="12">
        <v>0</v>
      </c>
    </row>
    <row r="129" spans="1:18">
      <c r="A129" s="3" t="s">
        <v>53</v>
      </c>
      <c r="B129" s="4">
        <v>45748</v>
      </c>
      <c r="C129" s="5">
        <v>37828.5</v>
      </c>
      <c r="D129" s="5">
        <v>8221</v>
      </c>
      <c r="E129" s="5">
        <v>9.6000000000000002E-2</v>
      </c>
      <c r="F129" s="5">
        <v>19</v>
      </c>
      <c r="G129" s="5">
        <v>81.5</v>
      </c>
      <c r="H129" s="5">
        <v>3.19</v>
      </c>
      <c r="I129" s="5">
        <v>0</v>
      </c>
      <c r="J129" s="5">
        <v>4.8</v>
      </c>
      <c r="K129" s="5">
        <v>697155.3</v>
      </c>
      <c r="L129" s="5">
        <v>136408.54</v>
      </c>
      <c r="M129" s="12">
        <v>0</v>
      </c>
      <c r="N129" s="12">
        <v>0</v>
      </c>
      <c r="O129" s="12">
        <v>1</v>
      </c>
      <c r="P129" s="12">
        <v>0</v>
      </c>
      <c r="Q129" s="12">
        <v>1</v>
      </c>
      <c r="R129" s="12">
        <v>0</v>
      </c>
    </row>
    <row r="130" spans="1:18">
      <c r="A130" s="3" t="s">
        <v>54</v>
      </c>
      <c r="B130" s="4">
        <v>45658</v>
      </c>
      <c r="C130" s="5">
        <v>66250.53</v>
      </c>
      <c r="D130" s="5">
        <v>10618</v>
      </c>
      <c r="E130" s="5">
        <v>0.14199999999999999</v>
      </c>
      <c r="F130" s="5">
        <v>27</v>
      </c>
      <c r="G130" s="5">
        <v>88.3</v>
      </c>
      <c r="H130" s="5">
        <v>1.1000000000000001</v>
      </c>
      <c r="I130" s="5">
        <v>1</v>
      </c>
      <c r="J130" s="5">
        <v>4.4000000000000004</v>
      </c>
      <c r="K130" s="5">
        <v>849018.3</v>
      </c>
      <c r="L130" s="5">
        <v>149035.13</v>
      </c>
      <c r="M130" s="12">
        <v>0</v>
      </c>
      <c r="N130" s="12">
        <v>0</v>
      </c>
      <c r="O130" s="12">
        <v>0</v>
      </c>
      <c r="P130" s="12">
        <v>0</v>
      </c>
      <c r="Q130" s="12">
        <v>1</v>
      </c>
      <c r="R130" s="12">
        <v>0</v>
      </c>
    </row>
    <row r="131" spans="1:18">
      <c r="A131" s="3" t="s">
        <v>54</v>
      </c>
      <c r="B131" s="4">
        <v>45689</v>
      </c>
      <c r="C131" s="5">
        <v>68410.929999999993</v>
      </c>
      <c r="D131" s="5">
        <v>10596</v>
      </c>
      <c r="E131" s="5">
        <v>0.20699999999999999</v>
      </c>
      <c r="F131" s="5">
        <v>25</v>
      </c>
      <c r="G131" s="5">
        <v>81.2</v>
      </c>
      <c r="H131" s="5">
        <v>0.21</v>
      </c>
      <c r="I131" s="5">
        <v>0</v>
      </c>
      <c r="J131" s="5">
        <v>4</v>
      </c>
      <c r="K131" s="5">
        <v>801830.35</v>
      </c>
      <c r="L131" s="5">
        <v>114875.32</v>
      </c>
      <c r="M131" s="12">
        <v>0</v>
      </c>
      <c r="N131" s="12">
        <v>0</v>
      </c>
      <c r="O131" s="12">
        <v>0</v>
      </c>
      <c r="P131" s="12">
        <v>0</v>
      </c>
      <c r="Q131" s="12">
        <v>1</v>
      </c>
      <c r="R131" s="12">
        <v>0</v>
      </c>
    </row>
    <row r="132" spans="1:18">
      <c r="A132" s="3" t="s">
        <v>54</v>
      </c>
      <c r="B132" s="4">
        <v>45717</v>
      </c>
      <c r="C132" s="5">
        <v>50735.63</v>
      </c>
      <c r="D132" s="5">
        <v>9619</v>
      </c>
      <c r="E132" s="5">
        <v>0.14399999999999999</v>
      </c>
      <c r="F132" s="5">
        <v>19</v>
      </c>
      <c r="G132" s="5">
        <v>93.8</v>
      </c>
      <c r="H132" s="5">
        <v>5.12</v>
      </c>
      <c r="I132" s="5">
        <v>1</v>
      </c>
      <c r="J132" s="5">
        <v>4.5</v>
      </c>
      <c r="K132" s="5">
        <v>725235.28</v>
      </c>
      <c r="L132" s="5">
        <v>121632.24</v>
      </c>
      <c r="M132" s="12">
        <v>0</v>
      </c>
      <c r="N132" s="12">
        <v>0</v>
      </c>
      <c r="O132" s="12">
        <v>0</v>
      </c>
      <c r="P132" s="12">
        <v>0</v>
      </c>
      <c r="Q132" s="12">
        <v>1</v>
      </c>
      <c r="R132" s="12">
        <v>0</v>
      </c>
    </row>
    <row r="133" spans="1:18">
      <c r="A133" s="3" t="s">
        <v>54</v>
      </c>
      <c r="B133" s="4">
        <v>45748</v>
      </c>
      <c r="C133" s="5">
        <v>66455.8</v>
      </c>
      <c r="D133" s="5">
        <v>10836</v>
      </c>
      <c r="E133" s="5">
        <v>8.8999999999999996E-2</v>
      </c>
      <c r="F133" s="5">
        <v>25</v>
      </c>
      <c r="G133" s="5">
        <v>85</v>
      </c>
      <c r="H133" s="5">
        <v>9.77</v>
      </c>
      <c r="I133" s="5">
        <v>0</v>
      </c>
      <c r="J133" s="5">
        <v>4.5</v>
      </c>
      <c r="K133" s="5">
        <v>811452.72</v>
      </c>
      <c r="L133" s="5">
        <v>131325.67000000001</v>
      </c>
      <c r="M133" s="12">
        <v>0</v>
      </c>
      <c r="N133" s="12">
        <v>0</v>
      </c>
      <c r="O133" s="12">
        <v>0</v>
      </c>
      <c r="P133" s="12">
        <v>0</v>
      </c>
      <c r="Q133" s="12">
        <v>1</v>
      </c>
      <c r="R133" s="12">
        <v>0</v>
      </c>
    </row>
    <row r="134" spans="1:18">
      <c r="A134" s="3" t="s">
        <v>55</v>
      </c>
      <c r="B134" s="4">
        <v>45658</v>
      </c>
      <c r="C134" s="5">
        <v>70276.28</v>
      </c>
      <c r="D134" s="5">
        <v>3043</v>
      </c>
      <c r="E134" s="5">
        <v>7.9000000000000001E-2</v>
      </c>
      <c r="F134" s="5">
        <v>9</v>
      </c>
      <c r="G134" s="5">
        <v>87.9</v>
      </c>
      <c r="H134" s="5">
        <v>3.77</v>
      </c>
      <c r="I134" s="5">
        <v>0</v>
      </c>
      <c r="J134" s="5">
        <v>4.4000000000000004</v>
      </c>
      <c r="K134" s="5">
        <v>527300.13</v>
      </c>
      <c r="L134" s="5">
        <v>84197.87</v>
      </c>
      <c r="M134" s="12">
        <v>0</v>
      </c>
      <c r="N134" s="12">
        <v>1</v>
      </c>
      <c r="O134" s="12">
        <v>0</v>
      </c>
      <c r="P134" s="12">
        <v>0</v>
      </c>
      <c r="Q134" s="12">
        <v>1</v>
      </c>
      <c r="R134" s="12">
        <v>0</v>
      </c>
    </row>
    <row r="135" spans="1:18">
      <c r="A135" s="3" t="s">
        <v>55</v>
      </c>
      <c r="B135" s="4">
        <v>45689</v>
      </c>
      <c r="C135" s="5">
        <v>22071.64</v>
      </c>
      <c r="D135" s="5">
        <v>1814</v>
      </c>
      <c r="E135" s="5">
        <v>0.19600000000000001</v>
      </c>
      <c r="F135" s="5">
        <v>8</v>
      </c>
      <c r="G135" s="5">
        <v>81.099999999999994</v>
      </c>
      <c r="H135" s="5">
        <v>0.78</v>
      </c>
      <c r="I135" s="5">
        <v>0</v>
      </c>
      <c r="J135" s="5">
        <v>3.9</v>
      </c>
      <c r="K135" s="5">
        <v>400831.65</v>
      </c>
      <c r="L135" s="5">
        <v>70979.31</v>
      </c>
      <c r="M135" s="12">
        <v>0</v>
      </c>
      <c r="N135" s="12">
        <v>1</v>
      </c>
      <c r="O135" s="12">
        <v>0</v>
      </c>
      <c r="P135" s="12">
        <v>0</v>
      </c>
      <c r="Q135" s="12">
        <v>1</v>
      </c>
      <c r="R135" s="12">
        <v>0</v>
      </c>
    </row>
    <row r="136" spans="1:18">
      <c r="A136" s="3" t="s">
        <v>55</v>
      </c>
      <c r="B136" s="4">
        <v>45717</v>
      </c>
      <c r="C136" s="5">
        <v>52285.45</v>
      </c>
      <c r="D136" s="5">
        <v>3618</v>
      </c>
      <c r="E136" s="5">
        <v>8.5999999999999993E-2</v>
      </c>
      <c r="F136" s="5">
        <v>11</v>
      </c>
      <c r="G136" s="5">
        <v>95.6</v>
      </c>
      <c r="H136" s="5">
        <v>5.17</v>
      </c>
      <c r="I136" s="5">
        <v>1</v>
      </c>
      <c r="J136" s="5">
        <v>4.4000000000000004</v>
      </c>
      <c r="K136" s="5">
        <v>593247.25</v>
      </c>
      <c r="L136" s="5">
        <v>81240.289999999994</v>
      </c>
      <c r="M136" s="12">
        <v>0</v>
      </c>
      <c r="N136" s="12">
        <v>1</v>
      </c>
      <c r="O136" s="12">
        <v>0</v>
      </c>
      <c r="P136" s="12">
        <v>0</v>
      </c>
      <c r="Q136" s="12">
        <v>1</v>
      </c>
      <c r="R136" s="12">
        <v>0</v>
      </c>
    </row>
    <row r="137" spans="1:18">
      <c r="A137" s="3" t="s">
        <v>55</v>
      </c>
      <c r="B137" s="4">
        <v>45748</v>
      </c>
      <c r="C137" s="5">
        <v>70366.759999999995</v>
      </c>
      <c r="D137" s="5">
        <v>1963</v>
      </c>
      <c r="E137" s="5">
        <v>0.182</v>
      </c>
      <c r="F137" s="5">
        <v>8</v>
      </c>
      <c r="G137" s="5">
        <v>89.8</v>
      </c>
      <c r="H137" s="5">
        <v>3.2</v>
      </c>
      <c r="I137" s="5">
        <v>0</v>
      </c>
      <c r="J137" s="5">
        <v>4.5999999999999996</v>
      </c>
      <c r="K137" s="5">
        <v>529075.94999999995</v>
      </c>
      <c r="L137" s="5">
        <v>95978.83</v>
      </c>
      <c r="M137" s="12">
        <v>0</v>
      </c>
      <c r="N137" s="12">
        <v>1</v>
      </c>
      <c r="O137" s="12">
        <v>0</v>
      </c>
      <c r="P137" s="12">
        <v>0</v>
      </c>
      <c r="Q137" s="12">
        <v>1</v>
      </c>
      <c r="R137" s="12">
        <v>0</v>
      </c>
    </row>
    <row r="138" spans="1:18">
      <c r="A138" s="3" t="s">
        <v>56</v>
      </c>
      <c r="B138" s="4">
        <v>45658</v>
      </c>
      <c r="C138" s="5">
        <v>71320.66</v>
      </c>
      <c r="D138" s="5">
        <v>7888</v>
      </c>
      <c r="E138" s="5">
        <v>4.8000000000000001E-2</v>
      </c>
      <c r="F138" s="5">
        <v>20</v>
      </c>
      <c r="G138" s="5">
        <v>78.099999999999994</v>
      </c>
      <c r="H138" s="5">
        <v>3.4</v>
      </c>
      <c r="I138" s="5">
        <v>0</v>
      </c>
      <c r="J138" s="5">
        <v>3.9</v>
      </c>
      <c r="K138" s="5">
        <v>633638.03</v>
      </c>
      <c r="L138" s="5">
        <v>99402.01</v>
      </c>
      <c r="M138" s="12">
        <v>0</v>
      </c>
      <c r="N138" s="12">
        <v>0</v>
      </c>
      <c r="O138" s="12">
        <v>1</v>
      </c>
      <c r="P138" s="12">
        <v>0</v>
      </c>
      <c r="Q138" s="12">
        <v>0</v>
      </c>
      <c r="R138" s="12">
        <v>0</v>
      </c>
    </row>
    <row r="139" spans="1:18">
      <c r="A139" s="3" t="s">
        <v>56</v>
      </c>
      <c r="B139" s="4">
        <v>45689</v>
      </c>
      <c r="C139" s="5">
        <v>75109.67</v>
      </c>
      <c r="D139" s="5">
        <v>6244</v>
      </c>
      <c r="E139" s="5">
        <v>7.9000000000000001E-2</v>
      </c>
      <c r="F139" s="5">
        <v>15</v>
      </c>
      <c r="G139" s="5">
        <v>96.3</v>
      </c>
      <c r="H139" s="5">
        <v>7.38</v>
      </c>
      <c r="I139" s="5">
        <v>0</v>
      </c>
      <c r="J139" s="5">
        <v>3.7</v>
      </c>
      <c r="K139" s="5">
        <v>743348.84</v>
      </c>
      <c r="L139" s="5">
        <v>104186.09</v>
      </c>
      <c r="M139" s="12">
        <v>0</v>
      </c>
      <c r="N139" s="12">
        <v>0</v>
      </c>
      <c r="O139" s="12">
        <v>1</v>
      </c>
      <c r="P139" s="12">
        <v>0</v>
      </c>
      <c r="Q139" s="12">
        <v>0</v>
      </c>
      <c r="R139" s="12">
        <v>0</v>
      </c>
    </row>
    <row r="140" spans="1:18">
      <c r="A140" s="3" t="s">
        <v>56</v>
      </c>
      <c r="B140" s="4">
        <v>45717</v>
      </c>
      <c r="C140" s="5">
        <v>69779</v>
      </c>
      <c r="D140" s="5">
        <v>6544</v>
      </c>
      <c r="E140" s="5">
        <v>0.152</v>
      </c>
      <c r="F140" s="5">
        <v>18</v>
      </c>
      <c r="G140" s="5">
        <v>90.2</v>
      </c>
      <c r="H140" s="5">
        <v>0.85</v>
      </c>
      <c r="I140" s="5">
        <v>1</v>
      </c>
      <c r="J140" s="5">
        <v>3.3</v>
      </c>
      <c r="K140" s="5">
        <v>758827.64</v>
      </c>
      <c r="L140" s="5">
        <v>161439.48000000001</v>
      </c>
      <c r="M140" s="12">
        <v>0</v>
      </c>
      <c r="N140" s="12">
        <v>0</v>
      </c>
      <c r="O140" s="12">
        <v>1</v>
      </c>
      <c r="P140" s="12">
        <v>0</v>
      </c>
      <c r="Q140" s="12">
        <v>0</v>
      </c>
      <c r="R140" s="12">
        <v>0</v>
      </c>
    </row>
    <row r="141" spans="1:18">
      <c r="A141" s="3" t="s">
        <v>56</v>
      </c>
      <c r="B141" s="4">
        <v>45748</v>
      </c>
      <c r="C141" s="5">
        <v>44211.95</v>
      </c>
      <c r="D141" s="5">
        <v>5465</v>
      </c>
      <c r="E141" s="5">
        <v>0.187</v>
      </c>
      <c r="F141" s="5">
        <v>12</v>
      </c>
      <c r="G141" s="5">
        <v>90</v>
      </c>
      <c r="H141" s="5">
        <v>2.89</v>
      </c>
      <c r="I141" s="5">
        <v>0</v>
      </c>
      <c r="J141" s="5">
        <v>3.6</v>
      </c>
      <c r="K141" s="5">
        <v>646559.71</v>
      </c>
      <c r="L141" s="5">
        <v>97981.75</v>
      </c>
      <c r="M141" s="12">
        <v>0</v>
      </c>
      <c r="N141" s="12">
        <v>0</v>
      </c>
      <c r="O141" s="12">
        <v>1</v>
      </c>
      <c r="P141" s="12">
        <v>0</v>
      </c>
      <c r="Q141" s="12">
        <v>0</v>
      </c>
      <c r="R141" s="12">
        <v>0</v>
      </c>
    </row>
    <row r="142" spans="1:18">
      <c r="A142" s="3" t="s">
        <v>57</v>
      </c>
      <c r="B142" s="4">
        <v>45658</v>
      </c>
      <c r="C142" s="5">
        <v>51430.31</v>
      </c>
      <c r="D142" s="5">
        <v>6427</v>
      </c>
      <c r="E142" s="5">
        <v>0.23400000000000001</v>
      </c>
      <c r="F142" s="5">
        <v>14</v>
      </c>
      <c r="G142" s="5">
        <v>88.8</v>
      </c>
      <c r="H142" s="5">
        <v>0.77</v>
      </c>
      <c r="I142" s="5">
        <v>0</v>
      </c>
      <c r="J142" s="5">
        <v>4.0999999999999996</v>
      </c>
      <c r="K142" s="5">
        <v>715890.53</v>
      </c>
      <c r="L142" s="5">
        <v>109032.15</v>
      </c>
      <c r="M142" s="12">
        <v>1</v>
      </c>
      <c r="N142" s="12">
        <v>0</v>
      </c>
      <c r="O142" s="12">
        <v>0</v>
      </c>
      <c r="P142" s="12">
        <v>0</v>
      </c>
      <c r="Q142" s="12">
        <v>1</v>
      </c>
      <c r="R142" s="12">
        <v>0</v>
      </c>
    </row>
    <row r="143" spans="1:18">
      <c r="A143" s="3" t="s">
        <v>57</v>
      </c>
      <c r="B143" s="4">
        <v>45689</v>
      </c>
      <c r="C143" s="5">
        <v>45706.49</v>
      </c>
      <c r="D143" s="5">
        <v>6704</v>
      </c>
      <c r="E143" s="5">
        <v>3.7999999999999999E-2</v>
      </c>
      <c r="F143" s="5">
        <v>15</v>
      </c>
      <c r="G143" s="5">
        <v>94.2</v>
      </c>
      <c r="H143" s="5">
        <v>2.92</v>
      </c>
      <c r="I143" s="5">
        <v>0</v>
      </c>
      <c r="J143" s="5">
        <v>4.2</v>
      </c>
      <c r="K143" s="5">
        <v>715097.57</v>
      </c>
      <c r="L143" s="5">
        <v>151875.85999999999</v>
      </c>
      <c r="M143" s="12">
        <v>1</v>
      </c>
      <c r="N143" s="12">
        <v>0</v>
      </c>
      <c r="O143" s="12">
        <v>0</v>
      </c>
      <c r="P143" s="12">
        <v>0</v>
      </c>
      <c r="Q143" s="12">
        <v>1</v>
      </c>
      <c r="R143" s="12">
        <v>0</v>
      </c>
    </row>
    <row r="144" spans="1:18">
      <c r="A144" s="3" t="s">
        <v>57</v>
      </c>
      <c r="B144" s="4">
        <v>45717</v>
      </c>
      <c r="C144" s="5">
        <v>44034.6</v>
      </c>
      <c r="D144" s="5">
        <v>5645</v>
      </c>
      <c r="E144" s="5">
        <v>6.9000000000000006E-2</v>
      </c>
      <c r="F144" s="5">
        <v>18</v>
      </c>
      <c r="G144" s="5">
        <v>88.5</v>
      </c>
      <c r="H144" s="5">
        <v>3.07</v>
      </c>
      <c r="I144" s="5">
        <v>0</v>
      </c>
      <c r="J144" s="5">
        <v>3.8</v>
      </c>
      <c r="K144" s="5">
        <v>682639.28</v>
      </c>
      <c r="L144" s="5">
        <v>77557.53</v>
      </c>
      <c r="M144" s="12">
        <v>1</v>
      </c>
      <c r="N144" s="12">
        <v>0</v>
      </c>
      <c r="O144" s="12">
        <v>0</v>
      </c>
      <c r="P144" s="12">
        <v>0</v>
      </c>
      <c r="Q144" s="12">
        <v>1</v>
      </c>
      <c r="R144" s="12">
        <v>0</v>
      </c>
    </row>
    <row r="145" spans="1:18">
      <c r="A145" s="3" t="s">
        <v>57</v>
      </c>
      <c r="B145" s="4">
        <v>45748</v>
      </c>
      <c r="C145" s="5">
        <v>50198.12</v>
      </c>
      <c r="D145" s="5">
        <v>6089</v>
      </c>
      <c r="E145" s="5">
        <v>0.182</v>
      </c>
      <c r="F145" s="5">
        <v>19</v>
      </c>
      <c r="G145" s="5">
        <v>94</v>
      </c>
      <c r="H145" s="5">
        <v>9.6999999999999993</v>
      </c>
      <c r="I145" s="5">
        <v>0</v>
      </c>
      <c r="J145" s="5">
        <v>3.9</v>
      </c>
      <c r="K145" s="5">
        <v>695098.51</v>
      </c>
      <c r="L145" s="5">
        <v>108192.75</v>
      </c>
      <c r="M145" s="12">
        <v>1</v>
      </c>
      <c r="N145" s="12">
        <v>0</v>
      </c>
      <c r="O145" s="12">
        <v>0</v>
      </c>
      <c r="P145" s="12">
        <v>0</v>
      </c>
      <c r="Q145" s="12">
        <v>1</v>
      </c>
      <c r="R145" s="12">
        <v>0</v>
      </c>
    </row>
    <row r="146" spans="1:18">
      <c r="A146" s="3" t="s">
        <v>58</v>
      </c>
      <c r="B146" s="4">
        <v>45658</v>
      </c>
      <c r="C146" s="5">
        <v>70488.2</v>
      </c>
      <c r="D146" s="5">
        <v>4312</v>
      </c>
      <c r="E146" s="5">
        <v>0.16900000000000001</v>
      </c>
      <c r="F146" s="5">
        <v>12</v>
      </c>
      <c r="G146" s="5">
        <v>90.2</v>
      </c>
      <c r="H146" s="5">
        <v>3.71</v>
      </c>
      <c r="I146" s="5">
        <v>0</v>
      </c>
      <c r="J146" s="5">
        <v>3.2</v>
      </c>
      <c r="K146" s="5">
        <v>577732.56999999995</v>
      </c>
      <c r="L146" s="5">
        <v>93804.27</v>
      </c>
      <c r="M146" s="12">
        <v>0</v>
      </c>
      <c r="N146" s="12">
        <v>1</v>
      </c>
      <c r="O146" s="12">
        <v>0</v>
      </c>
      <c r="P146" s="12">
        <v>0</v>
      </c>
      <c r="Q146" s="12">
        <v>0</v>
      </c>
      <c r="R146" s="12">
        <v>0</v>
      </c>
    </row>
    <row r="147" spans="1:18">
      <c r="A147" s="3" t="s">
        <v>58</v>
      </c>
      <c r="B147" s="4">
        <v>45689</v>
      </c>
      <c r="C147" s="5">
        <v>50909.27</v>
      </c>
      <c r="D147" s="5">
        <v>3152</v>
      </c>
      <c r="E147" s="5">
        <v>0.06</v>
      </c>
      <c r="F147" s="5">
        <v>13</v>
      </c>
      <c r="G147" s="5">
        <v>93.7</v>
      </c>
      <c r="H147" s="5">
        <v>10.79</v>
      </c>
      <c r="I147" s="5">
        <v>0</v>
      </c>
      <c r="J147" s="5">
        <v>3.5</v>
      </c>
      <c r="K147" s="5">
        <v>537058.32999999996</v>
      </c>
      <c r="L147" s="5">
        <v>93555.71</v>
      </c>
      <c r="M147" s="12">
        <v>0</v>
      </c>
      <c r="N147" s="12">
        <v>1</v>
      </c>
      <c r="O147" s="12">
        <v>0</v>
      </c>
      <c r="P147" s="12">
        <v>0</v>
      </c>
      <c r="Q147" s="12">
        <v>0</v>
      </c>
      <c r="R147" s="12">
        <v>0</v>
      </c>
    </row>
    <row r="148" spans="1:18">
      <c r="A148" s="3" t="s">
        <v>58</v>
      </c>
      <c r="B148" s="4">
        <v>45717</v>
      </c>
      <c r="C148" s="5">
        <v>53351.7</v>
      </c>
      <c r="D148" s="5">
        <v>4259</v>
      </c>
      <c r="E148" s="5">
        <v>0.156</v>
      </c>
      <c r="F148" s="5">
        <v>15</v>
      </c>
      <c r="G148" s="5">
        <v>93.7</v>
      </c>
      <c r="H148" s="5">
        <v>6.03</v>
      </c>
      <c r="I148" s="5">
        <v>0</v>
      </c>
      <c r="J148" s="5">
        <v>3.4</v>
      </c>
      <c r="K148" s="5">
        <v>601568.87</v>
      </c>
      <c r="L148" s="5">
        <v>91634.82</v>
      </c>
      <c r="M148" s="12">
        <v>0</v>
      </c>
      <c r="N148" s="12">
        <v>1</v>
      </c>
      <c r="O148" s="12">
        <v>0</v>
      </c>
      <c r="P148" s="12">
        <v>0</v>
      </c>
      <c r="Q148" s="12">
        <v>0</v>
      </c>
      <c r="R148" s="12">
        <v>0</v>
      </c>
    </row>
    <row r="149" spans="1:18">
      <c r="A149" s="3" t="s">
        <v>58</v>
      </c>
      <c r="B149" s="4">
        <v>45748</v>
      </c>
      <c r="C149" s="5">
        <v>60322.400000000001</v>
      </c>
      <c r="D149" s="5">
        <v>3350</v>
      </c>
      <c r="E149" s="5">
        <v>0.108</v>
      </c>
      <c r="F149" s="5">
        <v>12</v>
      </c>
      <c r="G149" s="5">
        <v>89.4</v>
      </c>
      <c r="H149" s="5">
        <v>4.92</v>
      </c>
      <c r="I149" s="5">
        <v>0</v>
      </c>
      <c r="J149" s="5">
        <v>3.4</v>
      </c>
      <c r="K149" s="5">
        <v>570964.84</v>
      </c>
      <c r="L149" s="5">
        <v>81331.070000000007</v>
      </c>
      <c r="M149" s="12">
        <v>0</v>
      </c>
      <c r="N149" s="12">
        <v>1</v>
      </c>
      <c r="O149" s="12">
        <v>0</v>
      </c>
      <c r="P149" s="12">
        <v>0</v>
      </c>
      <c r="Q149" s="12">
        <v>0</v>
      </c>
      <c r="R149" s="12">
        <v>0</v>
      </c>
    </row>
    <row r="150" spans="1:18">
      <c r="A150" s="3" t="s">
        <v>59</v>
      </c>
      <c r="B150" s="4">
        <v>45658</v>
      </c>
      <c r="C150" s="5">
        <v>51575.68</v>
      </c>
      <c r="D150" s="5">
        <v>5329</v>
      </c>
      <c r="E150" s="5">
        <v>4.7E-2</v>
      </c>
      <c r="F150" s="5">
        <v>17</v>
      </c>
      <c r="G150" s="5">
        <v>88.1</v>
      </c>
      <c r="H150" s="5">
        <v>19.78</v>
      </c>
      <c r="I150" s="5">
        <v>0</v>
      </c>
      <c r="J150" s="5">
        <v>3.8</v>
      </c>
      <c r="K150" s="5">
        <v>614024.91</v>
      </c>
      <c r="L150" s="5">
        <v>84828.93</v>
      </c>
      <c r="M150" s="12">
        <v>0</v>
      </c>
      <c r="N150" s="12">
        <v>0</v>
      </c>
      <c r="O150" s="12">
        <v>1</v>
      </c>
      <c r="P150" s="12">
        <v>0</v>
      </c>
      <c r="Q150" s="12">
        <v>0</v>
      </c>
      <c r="R150" s="12">
        <v>1</v>
      </c>
    </row>
    <row r="151" spans="1:18">
      <c r="A151" s="3" t="s">
        <v>59</v>
      </c>
      <c r="B151" s="4">
        <v>45689</v>
      </c>
      <c r="C151" s="5">
        <v>43319.94</v>
      </c>
      <c r="D151" s="5">
        <v>6551</v>
      </c>
      <c r="E151" s="5">
        <v>4.3999999999999997E-2</v>
      </c>
      <c r="F151" s="5">
        <v>13</v>
      </c>
      <c r="G151" s="5">
        <v>99</v>
      </c>
      <c r="H151" s="5">
        <v>5.45</v>
      </c>
      <c r="I151" s="5">
        <v>0</v>
      </c>
      <c r="J151" s="5">
        <v>4.0999999999999996</v>
      </c>
      <c r="K151" s="5">
        <v>712868.35</v>
      </c>
      <c r="L151" s="5">
        <v>133650.51</v>
      </c>
      <c r="M151" s="12">
        <v>0</v>
      </c>
      <c r="N151" s="12">
        <v>0</v>
      </c>
      <c r="O151" s="12">
        <v>1</v>
      </c>
      <c r="P151" s="12">
        <v>0</v>
      </c>
      <c r="Q151" s="12">
        <v>0</v>
      </c>
      <c r="R151" s="12">
        <v>1</v>
      </c>
    </row>
    <row r="152" spans="1:18">
      <c r="A152" s="3" t="s">
        <v>59</v>
      </c>
      <c r="B152" s="4">
        <v>45717</v>
      </c>
      <c r="C152" s="5">
        <v>47093.55</v>
      </c>
      <c r="D152" s="5">
        <v>5550</v>
      </c>
      <c r="E152" s="5">
        <v>0.1</v>
      </c>
      <c r="F152" s="5">
        <v>12</v>
      </c>
      <c r="G152" s="5">
        <v>95</v>
      </c>
      <c r="H152" s="5">
        <v>2.33</v>
      </c>
      <c r="I152" s="5">
        <v>1</v>
      </c>
      <c r="J152" s="5">
        <v>3.7</v>
      </c>
      <c r="K152" s="5">
        <v>696744.15</v>
      </c>
      <c r="L152" s="5">
        <v>152230.09</v>
      </c>
      <c r="M152" s="12">
        <v>0</v>
      </c>
      <c r="N152" s="12">
        <v>0</v>
      </c>
      <c r="O152" s="12">
        <v>1</v>
      </c>
      <c r="P152" s="12">
        <v>0</v>
      </c>
      <c r="Q152" s="12">
        <v>0</v>
      </c>
      <c r="R152" s="12">
        <v>1</v>
      </c>
    </row>
    <row r="153" spans="1:18">
      <c r="A153" s="3" t="s">
        <v>59</v>
      </c>
      <c r="B153" s="4">
        <v>45748</v>
      </c>
      <c r="C153" s="5">
        <v>71855.09</v>
      </c>
      <c r="D153" s="5">
        <v>5911</v>
      </c>
      <c r="E153" s="5">
        <v>0.19700000000000001</v>
      </c>
      <c r="F153" s="5">
        <v>15</v>
      </c>
      <c r="G153" s="5">
        <v>94.3</v>
      </c>
      <c r="H153" s="5">
        <v>3.55</v>
      </c>
      <c r="I153" s="5">
        <v>0</v>
      </c>
      <c r="J153" s="5">
        <v>4.0999999999999996</v>
      </c>
      <c r="K153" s="5">
        <v>725847.99</v>
      </c>
      <c r="L153" s="5">
        <v>122698.73</v>
      </c>
      <c r="M153" s="12">
        <v>0</v>
      </c>
      <c r="N153" s="12">
        <v>0</v>
      </c>
      <c r="O153" s="12">
        <v>1</v>
      </c>
      <c r="P153" s="12">
        <v>0</v>
      </c>
      <c r="Q153" s="12">
        <v>0</v>
      </c>
      <c r="R153" s="12">
        <v>1</v>
      </c>
    </row>
    <row r="154" spans="1:18">
      <c r="A154" s="3" t="s">
        <v>60</v>
      </c>
      <c r="B154" s="4">
        <v>45658</v>
      </c>
      <c r="C154" s="5">
        <v>75645.23</v>
      </c>
      <c r="D154" s="5">
        <v>9674</v>
      </c>
      <c r="E154" s="5">
        <v>0.23400000000000001</v>
      </c>
      <c r="F154" s="5">
        <v>21</v>
      </c>
      <c r="G154" s="5">
        <v>87.4</v>
      </c>
      <c r="H154" s="5">
        <v>0.2</v>
      </c>
      <c r="I154" s="5">
        <v>0</v>
      </c>
      <c r="J154" s="5">
        <v>4.5</v>
      </c>
      <c r="K154" s="5">
        <v>785028.25</v>
      </c>
      <c r="L154" s="5">
        <v>110726.44</v>
      </c>
      <c r="M154" s="12">
        <v>0</v>
      </c>
      <c r="N154" s="12">
        <v>0</v>
      </c>
      <c r="O154" s="12">
        <v>0</v>
      </c>
      <c r="P154" s="12">
        <v>0</v>
      </c>
      <c r="Q154" s="12">
        <v>1</v>
      </c>
      <c r="R154" s="12">
        <v>0</v>
      </c>
    </row>
    <row r="155" spans="1:18">
      <c r="A155" s="3" t="s">
        <v>60</v>
      </c>
      <c r="B155" s="4">
        <v>45689</v>
      </c>
      <c r="C155" s="5">
        <v>64374.75</v>
      </c>
      <c r="D155" s="5">
        <v>6740</v>
      </c>
      <c r="E155" s="5">
        <v>0.16900000000000001</v>
      </c>
      <c r="F155" s="5">
        <v>18</v>
      </c>
      <c r="G155" s="5">
        <v>87</v>
      </c>
      <c r="H155" s="5">
        <v>2.09</v>
      </c>
      <c r="I155" s="5">
        <v>0</v>
      </c>
      <c r="J155" s="5">
        <v>4.2</v>
      </c>
      <c r="K155" s="5">
        <v>698492.67</v>
      </c>
      <c r="L155" s="5">
        <v>117319.32</v>
      </c>
      <c r="M155" s="12">
        <v>0</v>
      </c>
      <c r="N155" s="12">
        <v>0</v>
      </c>
      <c r="O155" s="12">
        <v>0</v>
      </c>
      <c r="P155" s="12">
        <v>0</v>
      </c>
      <c r="Q155" s="12">
        <v>1</v>
      </c>
      <c r="R155" s="12">
        <v>0</v>
      </c>
    </row>
    <row r="156" spans="1:18">
      <c r="A156" s="3" t="s">
        <v>60</v>
      </c>
      <c r="B156" s="4">
        <v>45717</v>
      </c>
      <c r="C156" s="5">
        <v>61433.84</v>
      </c>
      <c r="D156" s="5">
        <v>7745</v>
      </c>
      <c r="E156" s="5">
        <v>0.18</v>
      </c>
      <c r="F156" s="5">
        <v>16</v>
      </c>
      <c r="G156" s="5">
        <v>90.5</v>
      </c>
      <c r="H156" s="5">
        <v>2.2599999999999998</v>
      </c>
      <c r="I156" s="5">
        <v>0</v>
      </c>
      <c r="J156" s="5">
        <v>4.2</v>
      </c>
      <c r="K156" s="5">
        <v>685830.24</v>
      </c>
      <c r="L156" s="5">
        <v>128736.18</v>
      </c>
      <c r="M156" s="12">
        <v>0</v>
      </c>
      <c r="N156" s="12">
        <v>0</v>
      </c>
      <c r="O156" s="12">
        <v>0</v>
      </c>
      <c r="P156" s="12">
        <v>0</v>
      </c>
      <c r="Q156" s="12">
        <v>1</v>
      </c>
      <c r="R156" s="12">
        <v>0</v>
      </c>
    </row>
    <row r="157" spans="1:18">
      <c r="A157" s="3" t="s">
        <v>60</v>
      </c>
      <c r="B157" s="4">
        <v>45748</v>
      </c>
      <c r="C157" s="5">
        <v>42698.14</v>
      </c>
      <c r="D157" s="5">
        <v>7693</v>
      </c>
      <c r="E157" s="5">
        <v>0.187</v>
      </c>
      <c r="F157" s="5">
        <v>19</v>
      </c>
      <c r="G157" s="5">
        <v>90.1</v>
      </c>
      <c r="H157" s="5">
        <v>0.44</v>
      </c>
      <c r="I157" s="5">
        <v>0</v>
      </c>
      <c r="J157" s="5">
        <v>4.4000000000000004</v>
      </c>
      <c r="K157" s="5">
        <v>702318.94</v>
      </c>
      <c r="L157" s="5">
        <v>112829.29</v>
      </c>
      <c r="M157" s="12">
        <v>0</v>
      </c>
      <c r="N157" s="12">
        <v>0</v>
      </c>
      <c r="O157" s="12">
        <v>0</v>
      </c>
      <c r="P157" s="12">
        <v>0</v>
      </c>
      <c r="Q157" s="12">
        <v>1</v>
      </c>
      <c r="R157" s="12">
        <v>0</v>
      </c>
    </row>
    <row r="158" spans="1:18">
      <c r="A158" s="3" t="s">
        <v>61</v>
      </c>
      <c r="B158" s="4">
        <v>45658</v>
      </c>
      <c r="C158" s="5">
        <v>86883.31</v>
      </c>
      <c r="D158" s="5">
        <v>6424</v>
      </c>
      <c r="E158" s="5">
        <v>5.7000000000000002E-2</v>
      </c>
      <c r="F158" s="5">
        <v>19</v>
      </c>
      <c r="G158" s="5">
        <v>85.2</v>
      </c>
      <c r="H158" s="5">
        <v>3.08</v>
      </c>
      <c r="I158" s="5">
        <v>0</v>
      </c>
      <c r="J158" s="5">
        <v>3.9</v>
      </c>
      <c r="K158" s="5">
        <v>700078.32</v>
      </c>
      <c r="L158" s="5">
        <v>123707.58</v>
      </c>
      <c r="M158" s="12">
        <v>0</v>
      </c>
      <c r="N158" s="12">
        <v>1</v>
      </c>
      <c r="O158" s="12">
        <v>0</v>
      </c>
      <c r="P158" s="12">
        <v>0</v>
      </c>
      <c r="Q158" s="12">
        <v>0</v>
      </c>
      <c r="R158" s="12">
        <v>1</v>
      </c>
    </row>
    <row r="159" spans="1:18">
      <c r="A159" s="3" t="s">
        <v>61</v>
      </c>
      <c r="B159" s="4">
        <v>45689</v>
      </c>
      <c r="C159" s="5">
        <v>41863.08</v>
      </c>
      <c r="D159" s="5">
        <v>5400</v>
      </c>
      <c r="E159" s="5">
        <v>0.114</v>
      </c>
      <c r="F159" s="5">
        <v>11</v>
      </c>
      <c r="G159" s="5">
        <v>91.6</v>
      </c>
      <c r="H159" s="5">
        <v>7.99</v>
      </c>
      <c r="I159" s="5">
        <v>0</v>
      </c>
      <c r="J159" s="5">
        <v>3</v>
      </c>
      <c r="K159" s="5">
        <v>602002.31999999995</v>
      </c>
      <c r="L159" s="5">
        <v>110453.28</v>
      </c>
      <c r="M159" s="12">
        <v>0</v>
      </c>
      <c r="N159" s="12">
        <v>1</v>
      </c>
      <c r="O159" s="12">
        <v>0</v>
      </c>
      <c r="P159" s="12">
        <v>0</v>
      </c>
      <c r="Q159" s="12">
        <v>0</v>
      </c>
      <c r="R159" s="12">
        <v>1</v>
      </c>
    </row>
    <row r="160" spans="1:18">
      <c r="A160" s="3" t="s">
        <v>61</v>
      </c>
      <c r="B160" s="4">
        <v>45717</v>
      </c>
      <c r="C160" s="5">
        <v>56918.16</v>
      </c>
      <c r="D160" s="5">
        <v>7015</v>
      </c>
      <c r="E160" s="5">
        <v>0.158</v>
      </c>
      <c r="F160" s="5">
        <v>18</v>
      </c>
      <c r="G160" s="5">
        <v>74.2</v>
      </c>
      <c r="H160" s="5">
        <v>0.2</v>
      </c>
      <c r="I160" s="5">
        <v>0</v>
      </c>
      <c r="J160" s="5">
        <v>3.4</v>
      </c>
      <c r="K160" s="5">
        <v>724216.07</v>
      </c>
      <c r="L160" s="5">
        <v>100627.56</v>
      </c>
      <c r="M160" s="12">
        <v>0</v>
      </c>
      <c r="N160" s="12">
        <v>1</v>
      </c>
      <c r="O160" s="12">
        <v>0</v>
      </c>
      <c r="P160" s="12">
        <v>0</v>
      </c>
      <c r="Q160" s="12">
        <v>0</v>
      </c>
      <c r="R160" s="12">
        <v>1</v>
      </c>
    </row>
    <row r="161" spans="1:18">
      <c r="A161" s="3" t="s">
        <v>61</v>
      </c>
      <c r="B161" s="4">
        <v>45748</v>
      </c>
      <c r="C161" s="5">
        <v>23254.57</v>
      </c>
      <c r="D161" s="5">
        <v>3847</v>
      </c>
      <c r="E161" s="5">
        <v>0.159</v>
      </c>
      <c r="F161" s="5">
        <v>12</v>
      </c>
      <c r="G161" s="5">
        <v>93</v>
      </c>
      <c r="H161" s="5">
        <v>5.46</v>
      </c>
      <c r="I161" s="5">
        <v>0</v>
      </c>
      <c r="J161" s="5">
        <v>3.3</v>
      </c>
      <c r="K161" s="5">
        <v>620973.03</v>
      </c>
      <c r="L161" s="5">
        <v>72303.850000000006</v>
      </c>
      <c r="M161" s="12">
        <v>0</v>
      </c>
      <c r="N161" s="12">
        <v>1</v>
      </c>
      <c r="O161" s="12">
        <v>0</v>
      </c>
      <c r="P161" s="12">
        <v>0</v>
      </c>
      <c r="Q161" s="12">
        <v>0</v>
      </c>
      <c r="R161" s="12">
        <v>1</v>
      </c>
    </row>
    <row r="162" spans="1:18">
      <c r="A162" s="3" t="s">
        <v>62</v>
      </c>
      <c r="B162" s="4">
        <v>45658</v>
      </c>
      <c r="C162" s="5">
        <v>41443.410000000003</v>
      </c>
      <c r="D162" s="5">
        <v>7455</v>
      </c>
      <c r="E162" s="5">
        <v>0.17499999999999999</v>
      </c>
      <c r="F162" s="5">
        <v>16</v>
      </c>
      <c r="G162" s="5">
        <v>90.1</v>
      </c>
      <c r="H162" s="5">
        <v>4.05</v>
      </c>
      <c r="I162" s="5">
        <v>0</v>
      </c>
      <c r="J162" s="5">
        <v>4</v>
      </c>
      <c r="K162" s="5">
        <v>650480.06000000006</v>
      </c>
      <c r="L162" s="5">
        <v>109012.07</v>
      </c>
      <c r="M162" s="12">
        <v>0</v>
      </c>
      <c r="N162" s="12">
        <v>0</v>
      </c>
      <c r="O162" s="12">
        <v>1</v>
      </c>
      <c r="P162" s="12">
        <v>0</v>
      </c>
      <c r="Q162" s="12">
        <v>1</v>
      </c>
      <c r="R162" s="12">
        <v>0</v>
      </c>
    </row>
    <row r="163" spans="1:18">
      <c r="A163" s="3" t="s">
        <v>62</v>
      </c>
      <c r="B163" s="4">
        <v>45689</v>
      </c>
      <c r="C163" s="5">
        <v>48438.85</v>
      </c>
      <c r="D163" s="5">
        <v>6992</v>
      </c>
      <c r="E163" s="5">
        <v>3.4000000000000002E-2</v>
      </c>
      <c r="F163" s="5">
        <v>20</v>
      </c>
      <c r="G163" s="5">
        <v>91</v>
      </c>
      <c r="H163" s="5">
        <v>4.3600000000000003</v>
      </c>
      <c r="I163" s="5">
        <v>0</v>
      </c>
      <c r="J163" s="5">
        <v>4.2</v>
      </c>
      <c r="K163" s="5">
        <v>778298.88</v>
      </c>
      <c r="L163" s="5">
        <v>130076.72</v>
      </c>
      <c r="M163" s="12">
        <v>0</v>
      </c>
      <c r="N163" s="12">
        <v>0</v>
      </c>
      <c r="O163" s="12">
        <v>1</v>
      </c>
      <c r="P163" s="12">
        <v>0</v>
      </c>
      <c r="Q163" s="12">
        <v>1</v>
      </c>
      <c r="R163" s="12">
        <v>0</v>
      </c>
    </row>
    <row r="164" spans="1:18">
      <c r="A164" s="3" t="s">
        <v>62</v>
      </c>
      <c r="B164" s="4">
        <v>45717</v>
      </c>
      <c r="C164" s="5">
        <v>57143.3</v>
      </c>
      <c r="D164" s="5">
        <v>8038</v>
      </c>
      <c r="E164" s="5">
        <v>0.193</v>
      </c>
      <c r="F164" s="5">
        <v>17</v>
      </c>
      <c r="G164" s="5">
        <v>72.599999999999994</v>
      </c>
      <c r="H164" s="5">
        <v>3.37</v>
      </c>
      <c r="I164" s="5">
        <v>0</v>
      </c>
      <c r="J164" s="5">
        <v>4.2</v>
      </c>
      <c r="K164" s="5">
        <v>677096.71</v>
      </c>
      <c r="L164" s="5">
        <v>97174.11</v>
      </c>
      <c r="M164" s="12">
        <v>0</v>
      </c>
      <c r="N164" s="12">
        <v>0</v>
      </c>
      <c r="O164" s="12">
        <v>1</v>
      </c>
      <c r="P164" s="12">
        <v>0</v>
      </c>
      <c r="Q164" s="12">
        <v>1</v>
      </c>
      <c r="R164" s="12">
        <v>0</v>
      </c>
    </row>
    <row r="165" spans="1:18">
      <c r="A165" s="3" t="s">
        <v>62</v>
      </c>
      <c r="B165" s="4">
        <v>45748</v>
      </c>
      <c r="C165" s="5">
        <v>66870.62</v>
      </c>
      <c r="D165" s="5">
        <v>6055</v>
      </c>
      <c r="E165" s="5">
        <v>7.4999999999999997E-2</v>
      </c>
      <c r="F165" s="5">
        <v>19</v>
      </c>
      <c r="G165" s="5">
        <v>93.8</v>
      </c>
      <c r="H165" s="5">
        <v>0.54</v>
      </c>
      <c r="I165" s="5">
        <v>0</v>
      </c>
      <c r="J165" s="5">
        <v>4.3</v>
      </c>
      <c r="K165" s="5">
        <v>692008.64</v>
      </c>
      <c r="L165" s="5">
        <v>116337.87</v>
      </c>
      <c r="M165" s="12">
        <v>0</v>
      </c>
      <c r="N165" s="12">
        <v>0</v>
      </c>
      <c r="O165" s="12">
        <v>1</v>
      </c>
      <c r="P165" s="12">
        <v>0</v>
      </c>
      <c r="Q165" s="12">
        <v>1</v>
      </c>
      <c r="R165" s="12">
        <v>0</v>
      </c>
    </row>
    <row r="166" spans="1:18">
      <c r="A166" s="3" t="s">
        <v>63</v>
      </c>
      <c r="B166" s="4">
        <v>45658</v>
      </c>
      <c r="C166" s="5">
        <v>72150.53</v>
      </c>
      <c r="D166" s="5">
        <v>9323</v>
      </c>
      <c r="E166" s="5">
        <v>0.157</v>
      </c>
      <c r="F166" s="5">
        <v>22</v>
      </c>
      <c r="G166" s="5">
        <v>82.9</v>
      </c>
      <c r="H166" s="5">
        <v>11.37</v>
      </c>
      <c r="I166" s="5">
        <v>1</v>
      </c>
      <c r="J166" s="5">
        <v>4.3</v>
      </c>
      <c r="K166" s="5">
        <v>825797.91</v>
      </c>
      <c r="L166" s="5">
        <v>130945.24</v>
      </c>
      <c r="M166" s="12">
        <v>0</v>
      </c>
      <c r="N166" s="12">
        <v>1</v>
      </c>
      <c r="O166" s="12">
        <v>0</v>
      </c>
      <c r="P166" s="12">
        <v>0</v>
      </c>
      <c r="Q166" s="12">
        <v>0</v>
      </c>
      <c r="R166" s="12">
        <v>1</v>
      </c>
    </row>
    <row r="167" spans="1:18">
      <c r="A167" s="3" t="s">
        <v>63</v>
      </c>
      <c r="B167" s="4">
        <v>45689</v>
      </c>
      <c r="C167" s="5">
        <v>35303.300000000003</v>
      </c>
      <c r="D167" s="5">
        <v>8789</v>
      </c>
      <c r="E167" s="5">
        <v>0.123</v>
      </c>
      <c r="F167" s="5">
        <v>22</v>
      </c>
      <c r="G167" s="5">
        <v>86.1</v>
      </c>
      <c r="H167" s="5">
        <v>9.43</v>
      </c>
      <c r="I167" s="5">
        <v>0</v>
      </c>
      <c r="J167" s="5">
        <v>4.2</v>
      </c>
      <c r="K167" s="5">
        <v>706285.52</v>
      </c>
      <c r="L167" s="5">
        <v>138014.72</v>
      </c>
      <c r="M167" s="12">
        <v>0</v>
      </c>
      <c r="N167" s="12">
        <v>1</v>
      </c>
      <c r="O167" s="12">
        <v>0</v>
      </c>
      <c r="P167" s="12">
        <v>0</v>
      </c>
      <c r="Q167" s="12">
        <v>0</v>
      </c>
      <c r="R167" s="12">
        <v>1</v>
      </c>
    </row>
    <row r="168" spans="1:18">
      <c r="A168" s="3" t="s">
        <v>63</v>
      </c>
      <c r="B168" s="4">
        <v>45717</v>
      </c>
      <c r="C168" s="5">
        <v>30301.86</v>
      </c>
      <c r="D168" s="5">
        <v>6939</v>
      </c>
      <c r="E168" s="5">
        <v>0.09</v>
      </c>
      <c r="F168" s="5">
        <v>16</v>
      </c>
      <c r="G168" s="5">
        <v>90.3</v>
      </c>
      <c r="H168" s="5">
        <v>3.49</v>
      </c>
      <c r="I168" s="5">
        <v>0</v>
      </c>
      <c r="J168" s="5">
        <v>4</v>
      </c>
      <c r="K168" s="5">
        <v>665534.69999999995</v>
      </c>
      <c r="L168" s="5">
        <v>113167.73</v>
      </c>
      <c r="M168" s="12">
        <v>0</v>
      </c>
      <c r="N168" s="12">
        <v>1</v>
      </c>
      <c r="O168" s="12">
        <v>0</v>
      </c>
      <c r="P168" s="12">
        <v>0</v>
      </c>
      <c r="Q168" s="12">
        <v>0</v>
      </c>
      <c r="R168" s="12">
        <v>1</v>
      </c>
    </row>
    <row r="169" spans="1:18">
      <c r="A169" s="3" t="s">
        <v>63</v>
      </c>
      <c r="B169" s="4">
        <v>45748</v>
      </c>
      <c r="C169" s="5">
        <v>78432.14</v>
      </c>
      <c r="D169" s="5">
        <v>9440</v>
      </c>
      <c r="E169" s="5">
        <v>0.126</v>
      </c>
      <c r="F169" s="5">
        <v>23</v>
      </c>
      <c r="G169" s="5">
        <v>89.2</v>
      </c>
      <c r="H169" s="5">
        <v>7.86</v>
      </c>
      <c r="I169" s="5">
        <v>0</v>
      </c>
      <c r="J169" s="5">
        <v>4.0999999999999996</v>
      </c>
      <c r="K169" s="5">
        <v>820729.29</v>
      </c>
      <c r="L169" s="5">
        <v>159325.47</v>
      </c>
      <c r="M169" s="12">
        <v>0</v>
      </c>
      <c r="N169" s="12">
        <v>1</v>
      </c>
      <c r="O169" s="12">
        <v>0</v>
      </c>
      <c r="P169" s="12">
        <v>0</v>
      </c>
      <c r="Q169" s="12">
        <v>0</v>
      </c>
      <c r="R169" s="12">
        <v>1</v>
      </c>
    </row>
    <row r="170" spans="1:18">
      <c r="A170" s="3" t="s">
        <v>64</v>
      </c>
      <c r="B170" s="4">
        <v>45658</v>
      </c>
      <c r="C170" s="5">
        <v>62059.18</v>
      </c>
      <c r="D170" s="5">
        <v>9374</v>
      </c>
      <c r="E170" s="5">
        <v>0.13600000000000001</v>
      </c>
      <c r="F170" s="5">
        <v>25</v>
      </c>
      <c r="G170" s="5">
        <v>87.1</v>
      </c>
      <c r="H170" s="5">
        <v>12.55</v>
      </c>
      <c r="I170" s="5">
        <v>0</v>
      </c>
      <c r="J170" s="5">
        <v>4.9000000000000004</v>
      </c>
      <c r="K170" s="5">
        <v>739831.73</v>
      </c>
      <c r="L170" s="5">
        <v>119490.21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</row>
    <row r="171" spans="1:18">
      <c r="A171" s="3" t="s">
        <v>64</v>
      </c>
      <c r="B171" s="4">
        <v>45689</v>
      </c>
      <c r="C171" s="5">
        <v>32834.480000000003</v>
      </c>
      <c r="D171" s="5">
        <v>7576</v>
      </c>
      <c r="E171" s="5">
        <v>9.9000000000000005E-2</v>
      </c>
      <c r="F171" s="5">
        <v>15</v>
      </c>
      <c r="G171" s="5">
        <v>84.1</v>
      </c>
      <c r="H171" s="5">
        <v>3.48</v>
      </c>
      <c r="I171" s="5">
        <v>0</v>
      </c>
      <c r="J171" s="5">
        <v>5</v>
      </c>
      <c r="K171" s="5">
        <v>593637.14</v>
      </c>
      <c r="L171" s="5">
        <v>106648.14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</row>
    <row r="172" spans="1:18">
      <c r="A172" s="3" t="s">
        <v>64</v>
      </c>
      <c r="B172" s="4">
        <v>45717</v>
      </c>
      <c r="C172" s="5">
        <v>50825.08</v>
      </c>
      <c r="D172" s="5">
        <v>8949</v>
      </c>
      <c r="E172" s="5">
        <v>0.157</v>
      </c>
      <c r="F172" s="5">
        <v>21</v>
      </c>
      <c r="G172" s="5">
        <v>84.7</v>
      </c>
      <c r="H172" s="5">
        <v>7.73</v>
      </c>
      <c r="I172" s="5">
        <v>0</v>
      </c>
      <c r="J172" s="5">
        <v>4.9000000000000004</v>
      </c>
      <c r="K172" s="5">
        <v>769702.76</v>
      </c>
      <c r="L172" s="5">
        <v>158697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</row>
    <row r="173" spans="1:18">
      <c r="A173" s="3" t="s">
        <v>64</v>
      </c>
      <c r="B173" s="4">
        <v>45748</v>
      </c>
      <c r="C173" s="5">
        <v>36606.51</v>
      </c>
      <c r="D173" s="5">
        <v>7671</v>
      </c>
      <c r="E173" s="5">
        <v>0.11799999999999999</v>
      </c>
      <c r="F173" s="5">
        <v>18</v>
      </c>
      <c r="G173" s="5">
        <v>89.8</v>
      </c>
      <c r="H173" s="5">
        <v>0.25</v>
      </c>
      <c r="I173" s="5">
        <v>0</v>
      </c>
      <c r="J173" s="5">
        <v>4.4000000000000004</v>
      </c>
      <c r="K173" s="5">
        <v>679731.57</v>
      </c>
      <c r="L173" s="5">
        <v>121546.42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</row>
    <row r="174" spans="1:18">
      <c r="A174" s="3" t="s">
        <v>65</v>
      </c>
      <c r="B174" s="4">
        <v>45658</v>
      </c>
      <c r="C174" s="5">
        <v>65237.79</v>
      </c>
      <c r="D174" s="5">
        <v>8741</v>
      </c>
      <c r="E174" s="5">
        <v>0.157</v>
      </c>
      <c r="F174" s="5">
        <v>20</v>
      </c>
      <c r="G174" s="5">
        <v>94.4</v>
      </c>
      <c r="H174" s="5">
        <v>6.43</v>
      </c>
      <c r="I174" s="5">
        <v>0</v>
      </c>
      <c r="J174" s="5">
        <v>3.3</v>
      </c>
      <c r="K174" s="5">
        <v>780344.18</v>
      </c>
      <c r="L174" s="5">
        <v>118239.09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</row>
    <row r="175" spans="1:18">
      <c r="A175" s="3" t="s">
        <v>65</v>
      </c>
      <c r="B175" s="4">
        <v>45689</v>
      </c>
      <c r="C175" s="5">
        <v>43645.98</v>
      </c>
      <c r="D175" s="5">
        <v>9480</v>
      </c>
      <c r="E175" s="5">
        <v>0.109</v>
      </c>
      <c r="F175" s="5">
        <v>22</v>
      </c>
      <c r="G175" s="5">
        <v>89</v>
      </c>
      <c r="H175" s="5">
        <v>2.11</v>
      </c>
      <c r="I175" s="5">
        <v>0</v>
      </c>
      <c r="J175" s="5">
        <v>3.1</v>
      </c>
      <c r="K175" s="5">
        <v>721364.11</v>
      </c>
      <c r="L175" s="5">
        <v>147272.81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</row>
    <row r="176" spans="1:18">
      <c r="A176" s="3" t="s">
        <v>65</v>
      </c>
      <c r="B176" s="4">
        <v>45717</v>
      </c>
      <c r="C176" s="5">
        <v>68040.149999999994</v>
      </c>
      <c r="D176" s="5">
        <v>9826</v>
      </c>
      <c r="E176" s="5">
        <v>0.125</v>
      </c>
      <c r="F176" s="5">
        <v>20</v>
      </c>
      <c r="G176" s="5">
        <v>83.9</v>
      </c>
      <c r="H176" s="5">
        <v>9.1199999999999992</v>
      </c>
      <c r="I176" s="5">
        <v>0</v>
      </c>
      <c r="J176" s="5">
        <v>3.6</v>
      </c>
      <c r="K176" s="5">
        <v>758138.29</v>
      </c>
      <c r="L176" s="5">
        <v>132975.26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</row>
    <row r="177" spans="1:18">
      <c r="A177" s="3" t="s">
        <v>65</v>
      </c>
      <c r="B177" s="4">
        <v>45748</v>
      </c>
      <c r="C177" s="5">
        <v>63043.94</v>
      </c>
      <c r="D177" s="5">
        <v>10402</v>
      </c>
      <c r="E177" s="5">
        <v>0.159</v>
      </c>
      <c r="F177" s="5">
        <v>23</v>
      </c>
      <c r="G177" s="5">
        <v>93.9</v>
      </c>
      <c r="H177" s="5">
        <v>2.71</v>
      </c>
      <c r="I177" s="5">
        <v>0</v>
      </c>
      <c r="J177" s="5">
        <v>3.1</v>
      </c>
      <c r="K177" s="5">
        <v>804264</v>
      </c>
      <c r="L177" s="5">
        <v>167117.91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</row>
    <row r="178" spans="1:18">
      <c r="A178" s="3" t="s">
        <v>66</v>
      </c>
      <c r="B178" s="4">
        <v>45658</v>
      </c>
      <c r="C178" s="5">
        <v>67494.09</v>
      </c>
      <c r="D178" s="5">
        <v>12361</v>
      </c>
      <c r="E178" s="5">
        <v>4.5999999999999999E-2</v>
      </c>
      <c r="F178" s="5">
        <v>24</v>
      </c>
      <c r="G178" s="5">
        <v>76.599999999999994</v>
      </c>
      <c r="H178" s="5">
        <v>3.65</v>
      </c>
      <c r="I178" s="5">
        <v>1</v>
      </c>
      <c r="J178" s="5">
        <v>3.7</v>
      </c>
      <c r="K178" s="5">
        <v>887537.75</v>
      </c>
      <c r="L178" s="5">
        <v>160362.92000000001</v>
      </c>
      <c r="M178" s="12">
        <v>1</v>
      </c>
      <c r="N178" s="12">
        <v>0</v>
      </c>
      <c r="O178" s="12">
        <v>0</v>
      </c>
      <c r="P178" s="12">
        <v>1</v>
      </c>
      <c r="Q178" s="12">
        <v>0</v>
      </c>
      <c r="R178" s="12">
        <v>0</v>
      </c>
    </row>
    <row r="179" spans="1:18">
      <c r="A179" s="3" t="s">
        <v>66</v>
      </c>
      <c r="B179" s="4">
        <v>45689</v>
      </c>
      <c r="C179" s="5">
        <v>29389.32</v>
      </c>
      <c r="D179" s="5">
        <v>7925</v>
      </c>
      <c r="E179" s="5">
        <v>0.17699999999999999</v>
      </c>
      <c r="F179" s="5">
        <v>21</v>
      </c>
      <c r="G179" s="5">
        <v>90.9</v>
      </c>
      <c r="H179" s="5">
        <v>7.86</v>
      </c>
      <c r="I179" s="5">
        <v>0</v>
      </c>
      <c r="J179" s="5">
        <v>4</v>
      </c>
      <c r="K179" s="5">
        <v>783582</v>
      </c>
      <c r="L179" s="5">
        <v>130670.93</v>
      </c>
      <c r="M179" s="12">
        <v>1</v>
      </c>
      <c r="N179" s="12">
        <v>0</v>
      </c>
      <c r="O179" s="12">
        <v>0</v>
      </c>
      <c r="P179" s="12">
        <v>1</v>
      </c>
      <c r="Q179" s="12">
        <v>0</v>
      </c>
      <c r="R179" s="12">
        <v>0</v>
      </c>
    </row>
    <row r="180" spans="1:18">
      <c r="A180" s="3" t="s">
        <v>66</v>
      </c>
      <c r="B180" s="4">
        <v>45717</v>
      </c>
      <c r="C180" s="5">
        <v>40535.089999999997</v>
      </c>
      <c r="D180" s="5">
        <v>8870</v>
      </c>
      <c r="E180" s="5">
        <v>4.1000000000000002E-2</v>
      </c>
      <c r="F180" s="5">
        <v>21</v>
      </c>
      <c r="G180" s="5">
        <v>86.6</v>
      </c>
      <c r="H180" s="5">
        <v>0.3</v>
      </c>
      <c r="I180" s="5">
        <v>0</v>
      </c>
      <c r="J180" s="5">
        <v>4.0999999999999996</v>
      </c>
      <c r="K180" s="5">
        <v>781955.52</v>
      </c>
      <c r="L180" s="5">
        <v>152578.71</v>
      </c>
      <c r="M180" s="12">
        <v>1</v>
      </c>
      <c r="N180" s="12">
        <v>0</v>
      </c>
      <c r="O180" s="12">
        <v>0</v>
      </c>
      <c r="P180" s="12">
        <v>1</v>
      </c>
      <c r="Q180" s="12">
        <v>0</v>
      </c>
      <c r="R180" s="12">
        <v>0</v>
      </c>
    </row>
    <row r="181" spans="1:18">
      <c r="A181" s="3" t="s">
        <v>66</v>
      </c>
      <c r="B181" s="4">
        <v>45748</v>
      </c>
      <c r="C181" s="5">
        <v>74881.56</v>
      </c>
      <c r="D181" s="5">
        <v>9999</v>
      </c>
      <c r="E181" s="5">
        <v>1.2999999999999999E-2</v>
      </c>
      <c r="F181" s="5">
        <v>20</v>
      </c>
      <c r="G181" s="5">
        <v>89.6</v>
      </c>
      <c r="H181" s="5">
        <v>8.44</v>
      </c>
      <c r="I181" s="5">
        <v>0</v>
      </c>
      <c r="J181" s="5">
        <v>4.0999999999999996</v>
      </c>
      <c r="K181" s="5">
        <v>898031.04</v>
      </c>
      <c r="L181" s="5">
        <v>138666.5</v>
      </c>
      <c r="M181" s="12">
        <v>1</v>
      </c>
      <c r="N181" s="12">
        <v>0</v>
      </c>
      <c r="O181" s="12">
        <v>0</v>
      </c>
      <c r="P181" s="12">
        <v>1</v>
      </c>
      <c r="Q181" s="12">
        <v>0</v>
      </c>
      <c r="R181" s="12">
        <v>0</v>
      </c>
    </row>
    <row r="182" spans="1:18">
      <c r="A182" s="3" t="s">
        <v>67</v>
      </c>
      <c r="B182" s="4">
        <v>45658</v>
      </c>
      <c r="C182" s="5">
        <v>68491.11</v>
      </c>
      <c r="D182" s="5">
        <v>11154</v>
      </c>
      <c r="E182" s="5">
        <v>1E-3</v>
      </c>
      <c r="F182" s="5">
        <v>24</v>
      </c>
      <c r="G182" s="5">
        <v>89.4</v>
      </c>
      <c r="H182" s="5">
        <v>5.27</v>
      </c>
      <c r="I182" s="5">
        <v>1</v>
      </c>
      <c r="J182" s="5">
        <v>3.9</v>
      </c>
      <c r="K182" s="5">
        <v>855341.28</v>
      </c>
      <c r="L182" s="5">
        <v>175823.8</v>
      </c>
      <c r="M182" s="12">
        <v>1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</row>
    <row r="183" spans="1:18">
      <c r="A183" s="3" t="s">
        <v>67</v>
      </c>
      <c r="B183" s="4">
        <v>45689</v>
      </c>
      <c r="C183" s="5">
        <v>45209.25</v>
      </c>
      <c r="D183" s="5">
        <v>9287</v>
      </c>
      <c r="E183" s="5">
        <v>0.14099999999999999</v>
      </c>
      <c r="F183" s="5">
        <v>22</v>
      </c>
      <c r="G183" s="5">
        <v>86.4</v>
      </c>
      <c r="H183" s="5">
        <v>13.22</v>
      </c>
      <c r="I183" s="5">
        <v>0</v>
      </c>
      <c r="J183" s="5">
        <v>3.6</v>
      </c>
      <c r="K183" s="5">
        <v>751393.88</v>
      </c>
      <c r="L183" s="5">
        <v>91480.320000000007</v>
      </c>
      <c r="M183" s="12">
        <v>1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</row>
    <row r="184" spans="1:18">
      <c r="A184" s="3" t="s">
        <v>67</v>
      </c>
      <c r="B184" s="4">
        <v>45717</v>
      </c>
      <c r="C184" s="5">
        <v>63010.23</v>
      </c>
      <c r="D184" s="5">
        <v>9812</v>
      </c>
      <c r="E184" s="5">
        <v>0.113</v>
      </c>
      <c r="F184" s="5">
        <v>24</v>
      </c>
      <c r="G184" s="5">
        <v>76.8</v>
      </c>
      <c r="H184" s="5">
        <v>1.02</v>
      </c>
      <c r="I184" s="5">
        <v>1</v>
      </c>
      <c r="J184" s="5">
        <v>3.8</v>
      </c>
      <c r="K184" s="5">
        <v>761077.08</v>
      </c>
      <c r="L184" s="5">
        <v>113605.93</v>
      </c>
      <c r="M184" s="12">
        <v>1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</row>
    <row r="185" spans="1:18">
      <c r="A185" s="3" t="s">
        <v>67</v>
      </c>
      <c r="B185" s="4">
        <v>45748</v>
      </c>
      <c r="C185" s="5">
        <v>57948.88</v>
      </c>
      <c r="D185" s="5">
        <v>10741</v>
      </c>
      <c r="E185" s="5">
        <v>7.0000000000000007E-2</v>
      </c>
      <c r="F185" s="5">
        <v>25</v>
      </c>
      <c r="G185" s="5">
        <v>90.1</v>
      </c>
      <c r="H185" s="5">
        <v>4.03</v>
      </c>
      <c r="I185" s="5">
        <v>0</v>
      </c>
      <c r="J185" s="5">
        <v>3.1</v>
      </c>
      <c r="K185" s="5">
        <v>819660.59</v>
      </c>
      <c r="L185" s="5">
        <v>172699.95</v>
      </c>
      <c r="M185" s="12">
        <v>1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</row>
    <row r="186" spans="1:18">
      <c r="A186" s="3" t="s">
        <v>68</v>
      </c>
      <c r="B186" s="4">
        <v>45658</v>
      </c>
      <c r="C186" s="5">
        <v>71941.62</v>
      </c>
      <c r="D186" s="5">
        <v>6084</v>
      </c>
      <c r="E186" s="5">
        <v>7.1999999999999995E-2</v>
      </c>
      <c r="F186" s="5">
        <v>13</v>
      </c>
      <c r="G186" s="5">
        <v>93.7</v>
      </c>
      <c r="H186" s="5">
        <v>2.34</v>
      </c>
      <c r="I186" s="5">
        <v>0</v>
      </c>
      <c r="J186" s="5">
        <v>4.4000000000000004</v>
      </c>
      <c r="K186" s="5">
        <v>681855.56</v>
      </c>
      <c r="L186" s="5">
        <v>117645.61</v>
      </c>
      <c r="M186" s="12">
        <v>0</v>
      </c>
      <c r="N186" s="12">
        <v>1</v>
      </c>
      <c r="O186" s="12">
        <v>0</v>
      </c>
      <c r="P186" s="12">
        <v>0</v>
      </c>
      <c r="Q186" s="12">
        <v>1</v>
      </c>
      <c r="R186" s="12">
        <v>0</v>
      </c>
    </row>
    <row r="187" spans="1:18">
      <c r="A187" s="3" t="s">
        <v>68</v>
      </c>
      <c r="B187" s="4">
        <v>45689</v>
      </c>
      <c r="C187" s="5">
        <v>57147.88</v>
      </c>
      <c r="D187" s="5">
        <v>5252</v>
      </c>
      <c r="E187" s="5">
        <v>0.161</v>
      </c>
      <c r="F187" s="5">
        <v>15</v>
      </c>
      <c r="G187" s="5">
        <v>95.5</v>
      </c>
      <c r="H187" s="5">
        <v>8.51</v>
      </c>
      <c r="I187" s="5">
        <v>0</v>
      </c>
      <c r="J187" s="5">
        <v>4.4000000000000004</v>
      </c>
      <c r="K187" s="5">
        <v>678311.17</v>
      </c>
      <c r="L187" s="5">
        <v>132029.76000000001</v>
      </c>
      <c r="M187" s="12">
        <v>0</v>
      </c>
      <c r="N187" s="12">
        <v>1</v>
      </c>
      <c r="O187" s="12">
        <v>0</v>
      </c>
      <c r="P187" s="12">
        <v>0</v>
      </c>
      <c r="Q187" s="12">
        <v>1</v>
      </c>
      <c r="R187" s="12">
        <v>0</v>
      </c>
    </row>
    <row r="188" spans="1:18">
      <c r="A188" s="3" t="s">
        <v>68</v>
      </c>
      <c r="B188" s="4">
        <v>45717</v>
      </c>
      <c r="C188" s="5">
        <v>48031.74</v>
      </c>
      <c r="D188" s="5">
        <v>6516</v>
      </c>
      <c r="E188" s="5">
        <v>6.7000000000000004E-2</v>
      </c>
      <c r="F188" s="5">
        <v>14</v>
      </c>
      <c r="G188" s="5">
        <v>99</v>
      </c>
      <c r="H188" s="5">
        <v>0.48</v>
      </c>
      <c r="I188" s="5">
        <v>1</v>
      </c>
      <c r="J188" s="5">
        <v>4.3</v>
      </c>
      <c r="K188" s="5">
        <v>765906.95</v>
      </c>
      <c r="L188" s="5">
        <v>114005.9</v>
      </c>
      <c r="M188" s="12">
        <v>0</v>
      </c>
      <c r="N188" s="12">
        <v>1</v>
      </c>
      <c r="O188" s="12">
        <v>0</v>
      </c>
      <c r="P188" s="12">
        <v>0</v>
      </c>
      <c r="Q188" s="12">
        <v>1</v>
      </c>
      <c r="R188" s="12">
        <v>0</v>
      </c>
    </row>
    <row r="189" spans="1:18">
      <c r="A189" s="3" t="s">
        <v>68</v>
      </c>
      <c r="B189" s="4">
        <v>45748</v>
      </c>
      <c r="C189" s="5">
        <v>72784.800000000003</v>
      </c>
      <c r="D189" s="5">
        <v>7932</v>
      </c>
      <c r="E189" s="5">
        <v>9.4E-2</v>
      </c>
      <c r="F189" s="5">
        <v>20</v>
      </c>
      <c r="G189" s="5">
        <v>74.900000000000006</v>
      </c>
      <c r="H189" s="5">
        <v>13.62</v>
      </c>
      <c r="I189" s="5">
        <v>0</v>
      </c>
      <c r="J189" s="5">
        <v>4.2</v>
      </c>
      <c r="K189" s="5">
        <v>712546.38</v>
      </c>
      <c r="L189" s="5">
        <v>101480.04</v>
      </c>
      <c r="M189" s="12">
        <v>0</v>
      </c>
      <c r="N189" s="12">
        <v>1</v>
      </c>
      <c r="O189" s="12">
        <v>0</v>
      </c>
      <c r="P189" s="12">
        <v>0</v>
      </c>
      <c r="Q189" s="12">
        <v>1</v>
      </c>
      <c r="R189" s="12">
        <v>0</v>
      </c>
    </row>
    <row r="190" spans="1:18">
      <c r="A190" s="3" t="s">
        <v>69</v>
      </c>
      <c r="B190" s="4">
        <v>45658</v>
      </c>
      <c r="C190" s="5">
        <v>71641.899999999994</v>
      </c>
      <c r="D190" s="5">
        <v>3506</v>
      </c>
      <c r="E190" s="5">
        <v>0</v>
      </c>
      <c r="F190" s="5">
        <v>11</v>
      </c>
      <c r="G190" s="5">
        <v>86.4</v>
      </c>
      <c r="H190" s="5">
        <v>7.77</v>
      </c>
      <c r="I190" s="5">
        <v>0</v>
      </c>
      <c r="J190" s="5">
        <v>4.0999999999999996</v>
      </c>
      <c r="K190" s="5">
        <v>625993.82999999996</v>
      </c>
      <c r="L190" s="5">
        <v>98960.320000000007</v>
      </c>
      <c r="M190" s="12">
        <v>0</v>
      </c>
      <c r="N190" s="12">
        <v>0</v>
      </c>
      <c r="O190" s="12">
        <v>0</v>
      </c>
      <c r="P190" s="12">
        <v>0</v>
      </c>
      <c r="Q190" s="12">
        <v>1</v>
      </c>
      <c r="R190" s="12">
        <v>0</v>
      </c>
    </row>
    <row r="191" spans="1:18">
      <c r="A191" s="3" t="s">
        <v>69</v>
      </c>
      <c r="B191" s="4">
        <v>45689</v>
      </c>
      <c r="C191" s="5">
        <v>55788.61</v>
      </c>
      <c r="D191" s="5">
        <v>2312</v>
      </c>
      <c r="E191" s="5">
        <v>5.8000000000000003E-2</v>
      </c>
      <c r="F191" s="5">
        <v>10</v>
      </c>
      <c r="G191" s="5">
        <v>91.3</v>
      </c>
      <c r="H191" s="5">
        <v>1.99</v>
      </c>
      <c r="I191" s="5">
        <v>0</v>
      </c>
      <c r="J191" s="5">
        <v>3.8</v>
      </c>
      <c r="K191" s="5">
        <v>550962.93000000005</v>
      </c>
      <c r="L191" s="5">
        <v>97144.58</v>
      </c>
      <c r="M191" s="12">
        <v>0</v>
      </c>
      <c r="N191" s="12">
        <v>0</v>
      </c>
      <c r="O191" s="12">
        <v>0</v>
      </c>
      <c r="P191" s="12">
        <v>0</v>
      </c>
      <c r="Q191" s="12">
        <v>1</v>
      </c>
      <c r="R191" s="12">
        <v>0</v>
      </c>
    </row>
    <row r="192" spans="1:18">
      <c r="A192" s="3" t="s">
        <v>69</v>
      </c>
      <c r="B192" s="4">
        <v>45717</v>
      </c>
      <c r="C192" s="5">
        <v>37705.879999999997</v>
      </c>
      <c r="D192" s="5">
        <v>1268</v>
      </c>
      <c r="E192" s="5">
        <v>0.25900000000000001</v>
      </c>
      <c r="F192" s="5">
        <v>9</v>
      </c>
      <c r="G192" s="5">
        <v>84.1</v>
      </c>
      <c r="H192" s="5">
        <v>4.7699999999999996</v>
      </c>
      <c r="I192" s="5">
        <v>0</v>
      </c>
      <c r="J192" s="5">
        <v>3.8</v>
      </c>
      <c r="K192" s="5">
        <v>443275.59</v>
      </c>
      <c r="L192" s="5">
        <v>53544.36</v>
      </c>
      <c r="M192" s="12">
        <v>0</v>
      </c>
      <c r="N192" s="12">
        <v>0</v>
      </c>
      <c r="O192" s="12">
        <v>0</v>
      </c>
      <c r="P192" s="12">
        <v>0</v>
      </c>
      <c r="Q192" s="12">
        <v>1</v>
      </c>
      <c r="R192" s="12">
        <v>0</v>
      </c>
    </row>
    <row r="193" spans="1:18">
      <c r="A193" s="3" t="s">
        <v>69</v>
      </c>
      <c r="B193" s="4">
        <v>45748</v>
      </c>
      <c r="C193" s="5">
        <v>54966.18</v>
      </c>
      <c r="D193" s="5">
        <v>4423</v>
      </c>
      <c r="E193" s="5">
        <v>0.186</v>
      </c>
      <c r="F193" s="5">
        <v>13</v>
      </c>
      <c r="G193" s="5">
        <v>88.7</v>
      </c>
      <c r="H193" s="5">
        <v>0.2</v>
      </c>
      <c r="I193" s="5">
        <v>0</v>
      </c>
      <c r="J193" s="5">
        <v>4.4000000000000004</v>
      </c>
      <c r="K193" s="5">
        <v>554012.06999999995</v>
      </c>
      <c r="L193" s="5">
        <v>81101.62</v>
      </c>
      <c r="M193" s="12">
        <v>0</v>
      </c>
      <c r="N193" s="12">
        <v>0</v>
      </c>
      <c r="O193" s="12">
        <v>0</v>
      </c>
      <c r="P193" s="12">
        <v>0</v>
      </c>
      <c r="Q193" s="12">
        <v>1</v>
      </c>
      <c r="R193" s="12">
        <v>0</v>
      </c>
    </row>
    <row r="194" spans="1:18">
      <c r="A194" s="3" t="s">
        <v>70</v>
      </c>
      <c r="B194" s="4">
        <v>45658</v>
      </c>
      <c r="C194" s="5">
        <v>81796.740000000005</v>
      </c>
      <c r="D194" s="5">
        <v>6177</v>
      </c>
      <c r="E194" s="5">
        <v>0.16400000000000001</v>
      </c>
      <c r="F194" s="5">
        <v>14</v>
      </c>
      <c r="G194" s="5">
        <v>87.9</v>
      </c>
      <c r="H194" s="5">
        <v>0.53</v>
      </c>
      <c r="I194" s="5">
        <v>0</v>
      </c>
      <c r="J194" s="5">
        <v>3.2</v>
      </c>
      <c r="K194" s="5">
        <v>643428.85</v>
      </c>
      <c r="L194" s="5">
        <v>94477.63</v>
      </c>
      <c r="M194" s="12">
        <v>1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</row>
    <row r="195" spans="1:18">
      <c r="A195" s="3" t="s">
        <v>70</v>
      </c>
      <c r="B195" s="4">
        <v>45689</v>
      </c>
      <c r="C195" s="5">
        <v>51133.43</v>
      </c>
      <c r="D195" s="5">
        <v>5150</v>
      </c>
      <c r="E195" s="5">
        <v>0.15</v>
      </c>
      <c r="F195" s="5">
        <v>12</v>
      </c>
      <c r="G195" s="5">
        <v>88.5</v>
      </c>
      <c r="H195" s="5">
        <v>1.54</v>
      </c>
      <c r="I195" s="5">
        <v>0</v>
      </c>
      <c r="J195" s="5">
        <v>3.2</v>
      </c>
      <c r="K195" s="5">
        <v>611924.27</v>
      </c>
      <c r="L195" s="5">
        <v>115488.75</v>
      </c>
      <c r="M195" s="12">
        <v>1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</row>
    <row r="196" spans="1:18">
      <c r="A196" s="3" t="s">
        <v>70</v>
      </c>
      <c r="B196" s="4">
        <v>45717</v>
      </c>
      <c r="C196" s="5">
        <v>40220.18</v>
      </c>
      <c r="D196" s="5">
        <v>3783</v>
      </c>
      <c r="E196" s="5">
        <v>8.8999999999999996E-2</v>
      </c>
      <c r="F196" s="5">
        <v>14</v>
      </c>
      <c r="G196" s="5">
        <v>86.6</v>
      </c>
      <c r="H196" s="5">
        <v>3.63</v>
      </c>
      <c r="I196" s="5">
        <v>0</v>
      </c>
      <c r="J196" s="5">
        <v>3.7</v>
      </c>
      <c r="K196" s="5">
        <v>559422.02</v>
      </c>
      <c r="L196" s="5">
        <v>73528.740000000005</v>
      </c>
      <c r="M196" s="12">
        <v>1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</row>
    <row r="197" spans="1:18">
      <c r="A197" s="3" t="s">
        <v>70</v>
      </c>
      <c r="B197" s="4">
        <v>45748</v>
      </c>
      <c r="C197" s="5">
        <v>41657.64</v>
      </c>
      <c r="D197" s="5">
        <v>3135</v>
      </c>
      <c r="E197" s="5">
        <v>0.22900000000000001</v>
      </c>
      <c r="F197" s="5">
        <v>7</v>
      </c>
      <c r="G197" s="5">
        <v>85.4</v>
      </c>
      <c r="H197" s="5">
        <v>13.48</v>
      </c>
      <c r="I197" s="5">
        <v>0</v>
      </c>
      <c r="J197" s="5">
        <v>3.9</v>
      </c>
      <c r="K197" s="5">
        <v>449465.06</v>
      </c>
      <c r="L197" s="5">
        <v>65694.78</v>
      </c>
      <c r="M197" s="12">
        <v>1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</row>
    <row r="198" spans="1:18">
      <c r="A198" s="3" t="s">
        <v>71</v>
      </c>
      <c r="B198" s="4">
        <v>45658</v>
      </c>
      <c r="C198" s="5">
        <v>71851.45</v>
      </c>
      <c r="D198" s="5">
        <v>4970</v>
      </c>
      <c r="E198" s="5">
        <v>9.8000000000000004E-2</v>
      </c>
      <c r="F198" s="5">
        <v>11</v>
      </c>
      <c r="G198" s="5">
        <v>89.6</v>
      </c>
      <c r="H198" s="5">
        <v>0.2</v>
      </c>
      <c r="I198" s="5">
        <v>0</v>
      </c>
      <c r="J198" s="5">
        <v>4.2</v>
      </c>
      <c r="K198" s="5">
        <v>691447.43</v>
      </c>
      <c r="L198" s="5">
        <v>114077.69</v>
      </c>
      <c r="M198" s="12">
        <v>0</v>
      </c>
      <c r="N198" s="12">
        <v>1</v>
      </c>
      <c r="O198" s="12">
        <v>0</v>
      </c>
      <c r="P198" s="12">
        <v>0</v>
      </c>
      <c r="Q198" s="12">
        <v>0</v>
      </c>
      <c r="R198" s="12">
        <v>0</v>
      </c>
    </row>
    <row r="199" spans="1:18">
      <c r="A199" s="3" t="s">
        <v>71</v>
      </c>
      <c r="B199" s="4">
        <v>45689</v>
      </c>
      <c r="C199" s="5">
        <v>54002.83</v>
      </c>
      <c r="D199" s="5">
        <v>4366</v>
      </c>
      <c r="E199" s="5">
        <v>2.7E-2</v>
      </c>
      <c r="F199" s="5">
        <v>15</v>
      </c>
      <c r="G199" s="5">
        <v>90.6</v>
      </c>
      <c r="H199" s="5">
        <v>12.82</v>
      </c>
      <c r="I199" s="5">
        <v>0</v>
      </c>
      <c r="J199" s="5">
        <v>4.5999999999999996</v>
      </c>
      <c r="K199" s="5">
        <v>574066.61</v>
      </c>
      <c r="L199" s="5">
        <v>124674.67</v>
      </c>
      <c r="M199" s="12">
        <v>0</v>
      </c>
      <c r="N199" s="12">
        <v>1</v>
      </c>
      <c r="O199" s="12">
        <v>0</v>
      </c>
      <c r="P199" s="12">
        <v>0</v>
      </c>
      <c r="Q199" s="12">
        <v>0</v>
      </c>
      <c r="R199" s="12">
        <v>0</v>
      </c>
    </row>
    <row r="200" spans="1:18">
      <c r="A200" s="3" t="s">
        <v>71</v>
      </c>
      <c r="B200" s="4">
        <v>45717</v>
      </c>
      <c r="C200" s="5">
        <v>54479.33</v>
      </c>
      <c r="D200" s="5">
        <v>5012</v>
      </c>
      <c r="E200" s="5">
        <v>0.28399999999999997</v>
      </c>
      <c r="F200" s="5">
        <v>13</v>
      </c>
      <c r="G200" s="5">
        <v>86</v>
      </c>
      <c r="H200" s="5">
        <v>2.2400000000000002</v>
      </c>
      <c r="I200" s="5">
        <v>1</v>
      </c>
      <c r="J200" s="5">
        <v>4.3</v>
      </c>
      <c r="K200" s="5">
        <v>578949.84</v>
      </c>
      <c r="L200" s="5">
        <v>80253.649999999994</v>
      </c>
      <c r="M200" s="12">
        <v>0</v>
      </c>
      <c r="N200" s="12">
        <v>1</v>
      </c>
      <c r="O200" s="12">
        <v>0</v>
      </c>
      <c r="P200" s="12">
        <v>0</v>
      </c>
      <c r="Q200" s="12">
        <v>0</v>
      </c>
      <c r="R200" s="12">
        <v>0</v>
      </c>
    </row>
    <row r="201" spans="1:18">
      <c r="A201" s="3" t="s">
        <v>71</v>
      </c>
      <c r="B201" s="4">
        <v>45748</v>
      </c>
      <c r="C201" s="5">
        <v>61391.8</v>
      </c>
      <c r="D201" s="5">
        <v>5575</v>
      </c>
      <c r="E201" s="5">
        <v>0.189</v>
      </c>
      <c r="F201" s="5">
        <v>18</v>
      </c>
      <c r="G201" s="5">
        <v>90</v>
      </c>
      <c r="H201" s="5">
        <v>1.8</v>
      </c>
      <c r="I201" s="5">
        <v>0</v>
      </c>
      <c r="J201" s="5">
        <v>4.8</v>
      </c>
      <c r="K201" s="5">
        <v>735786.64</v>
      </c>
      <c r="L201" s="5">
        <v>126540.66</v>
      </c>
      <c r="M201" s="12">
        <v>0</v>
      </c>
      <c r="N201" s="12">
        <v>1</v>
      </c>
      <c r="O201" s="12">
        <v>0</v>
      </c>
      <c r="P201" s="12">
        <v>0</v>
      </c>
      <c r="Q201" s="12">
        <v>0</v>
      </c>
      <c r="R201" s="12">
        <v>0</v>
      </c>
    </row>
    <row r="202" spans="1:18">
      <c r="A202" s="3" t="s">
        <v>72</v>
      </c>
      <c r="B202" s="4">
        <v>45658</v>
      </c>
      <c r="C202" s="5">
        <v>22312.93</v>
      </c>
      <c r="D202" s="5">
        <v>5955</v>
      </c>
      <c r="E202" s="5">
        <v>0.123</v>
      </c>
      <c r="F202" s="5">
        <v>13</v>
      </c>
      <c r="G202" s="5">
        <v>84.2</v>
      </c>
      <c r="H202" s="5">
        <v>0.41</v>
      </c>
      <c r="I202" s="5">
        <v>1</v>
      </c>
      <c r="J202" s="5">
        <v>4.5999999999999996</v>
      </c>
      <c r="K202" s="5">
        <v>598904.9</v>
      </c>
      <c r="L202" s="5">
        <v>72861</v>
      </c>
      <c r="M202" s="12">
        <v>0</v>
      </c>
      <c r="N202" s="12">
        <v>0</v>
      </c>
      <c r="O202" s="12">
        <v>0</v>
      </c>
      <c r="P202" s="12">
        <v>1</v>
      </c>
      <c r="Q202" s="12">
        <v>0</v>
      </c>
      <c r="R202" s="12">
        <v>0</v>
      </c>
    </row>
    <row r="203" spans="1:18">
      <c r="A203" s="3" t="s">
        <v>72</v>
      </c>
      <c r="B203" s="4">
        <v>45689</v>
      </c>
      <c r="C203" s="5">
        <v>78111.97</v>
      </c>
      <c r="D203" s="5">
        <v>6389</v>
      </c>
      <c r="E203" s="5">
        <v>0.15</v>
      </c>
      <c r="F203" s="5">
        <v>13</v>
      </c>
      <c r="G203" s="5">
        <v>83.9</v>
      </c>
      <c r="H203" s="5">
        <v>3.05</v>
      </c>
      <c r="I203" s="5">
        <v>0</v>
      </c>
      <c r="J203" s="5">
        <v>4.8</v>
      </c>
      <c r="K203" s="5">
        <v>787715.51</v>
      </c>
      <c r="L203" s="5">
        <v>128969.62</v>
      </c>
      <c r="M203" s="12">
        <v>0</v>
      </c>
      <c r="N203" s="12">
        <v>0</v>
      </c>
      <c r="O203" s="12">
        <v>0</v>
      </c>
      <c r="P203" s="12">
        <v>1</v>
      </c>
      <c r="Q203" s="12">
        <v>0</v>
      </c>
      <c r="R203" s="12">
        <v>0</v>
      </c>
    </row>
    <row r="204" spans="1:18">
      <c r="A204" s="3" t="s">
        <v>72</v>
      </c>
      <c r="B204" s="4">
        <v>45717</v>
      </c>
      <c r="C204" s="5">
        <v>35203.230000000003</v>
      </c>
      <c r="D204" s="5">
        <v>6896</v>
      </c>
      <c r="E204" s="5">
        <v>3.2000000000000001E-2</v>
      </c>
      <c r="F204" s="5">
        <v>14</v>
      </c>
      <c r="G204" s="5">
        <v>80.8</v>
      </c>
      <c r="H204" s="5">
        <v>8.44</v>
      </c>
      <c r="I204" s="5">
        <v>1</v>
      </c>
      <c r="J204" s="5">
        <v>5</v>
      </c>
      <c r="K204" s="5">
        <v>607084.92000000004</v>
      </c>
      <c r="L204" s="5">
        <v>98558.49</v>
      </c>
      <c r="M204" s="12">
        <v>0</v>
      </c>
      <c r="N204" s="12">
        <v>0</v>
      </c>
      <c r="O204" s="12">
        <v>0</v>
      </c>
      <c r="P204" s="12">
        <v>1</v>
      </c>
      <c r="Q204" s="12">
        <v>0</v>
      </c>
      <c r="R204" s="12">
        <v>0</v>
      </c>
    </row>
    <row r="205" spans="1:18">
      <c r="A205" s="3" t="s">
        <v>72</v>
      </c>
      <c r="B205" s="4">
        <v>45748</v>
      </c>
      <c r="C205" s="5">
        <v>64104.28</v>
      </c>
      <c r="D205" s="5">
        <v>6015</v>
      </c>
      <c r="E205" s="5">
        <v>0.127</v>
      </c>
      <c r="F205" s="5">
        <v>15</v>
      </c>
      <c r="G205" s="5">
        <v>88.7</v>
      </c>
      <c r="H205" s="5">
        <v>0.78</v>
      </c>
      <c r="I205" s="5">
        <v>0</v>
      </c>
      <c r="J205" s="5">
        <v>4</v>
      </c>
      <c r="K205" s="5">
        <v>650795.49</v>
      </c>
      <c r="L205" s="5">
        <v>103035.89</v>
      </c>
      <c r="M205" s="12">
        <v>0</v>
      </c>
      <c r="N205" s="12">
        <v>0</v>
      </c>
      <c r="O205" s="12">
        <v>0</v>
      </c>
      <c r="P205" s="12">
        <v>1</v>
      </c>
      <c r="Q205" s="12">
        <v>0</v>
      </c>
      <c r="R205" s="12">
        <v>0</v>
      </c>
    </row>
    <row r="206" spans="1:18">
      <c r="A206" s="3" t="s">
        <v>73</v>
      </c>
      <c r="B206" s="4">
        <v>45658</v>
      </c>
      <c r="C206" s="5">
        <v>92090.14</v>
      </c>
      <c r="D206" s="5">
        <v>9476</v>
      </c>
      <c r="E206" s="5">
        <v>7.0000000000000007E-2</v>
      </c>
      <c r="F206" s="5">
        <v>24</v>
      </c>
      <c r="G206" s="5">
        <v>94.3</v>
      </c>
      <c r="H206" s="5">
        <v>0.87</v>
      </c>
      <c r="I206" s="5">
        <v>0</v>
      </c>
      <c r="J206" s="5">
        <v>3.7</v>
      </c>
      <c r="K206" s="5">
        <v>825060.52</v>
      </c>
      <c r="L206" s="5">
        <v>143613.15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1</v>
      </c>
    </row>
    <row r="207" spans="1:18">
      <c r="A207" s="3" t="s">
        <v>73</v>
      </c>
      <c r="B207" s="4">
        <v>45689</v>
      </c>
      <c r="C207" s="5">
        <v>54300.87</v>
      </c>
      <c r="D207" s="5">
        <v>7875</v>
      </c>
      <c r="E207" s="5">
        <v>0.107</v>
      </c>
      <c r="F207" s="5">
        <v>19</v>
      </c>
      <c r="G207" s="5">
        <v>94.1</v>
      </c>
      <c r="H207" s="5">
        <v>0.95</v>
      </c>
      <c r="I207" s="5">
        <v>0</v>
      </c>
      <c r="J207" s="5">
        <v>3.7</v>
      </c>
      <c r="K207" s="5">
        <v>795464.47</v>
      </c>
      <c r="L207" s="5">
        <v>161150.51999999999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1</v>
      </c>
    </row>
    <row r="208" spans="1:18">
      <c r="A208" s="3" t="s">
        <v>73</v>
      </c>
      <c r="B208" s="4">
        <v>45717</v>
      </c>
      <c r="C208" s="5">
        <v>37983.35</v>
      </c>
      <c r="D208" s="5">
        <v>9283</v>
      </c>
      <c r="E208" s="5">
        <v>0.14899999999999999</v>
      </c>
      <c r="F208" s="5">
        <v>19</v>
      </c>
      <c r="G208" s="5">
        <v>83.2</v>
      </c>
      <c r="H208" s="5">
        <v>3.82</v>
      </c>
      <c r="I208" s="5">
        <v>0</v>
      </c>
      <c r="J208" s="5">
        <v>3.7</v>
      </c>
      <c r="K208" s="5">
        <v>671868.59</v>
      </c>
      <c r="L208" s="5">
        <v>71003.28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1</v>
      </c>
    </row>
    <row r="209" spans="1:18">
      <c r="A209" s="3" t="s">
        <v>73</v>
      </c>
      <c r="B209" s="4">
        <v>45748</v>
      </c>
      <c r="C209" s="5">
        <v>56413.83</v>
      </c>
      <c r="D209" s="5">
        <v>8303</v>
      </c>
      <c r="E209" s="5">
        <v>0.11600000000000001</v>
      </c>
      <c r="F209" s="5">
        <v>18</v>
      </c>
      <c r="G209" s="5">
        <v>93.6</v>
      </c>
      <c r="H209" s="5">
        <v>2.7</v>
      </c>
      <c r="I209" s="5">
        <v>0</v>
      </c>
      <c r="J209" s="5">
        <v>3.7</v>
      </c>
      <c r="K209" s="5">
        <v>675917.63</v>
      </c>
      <c r="L209" s="5">
        <v>112564.75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1</v>
      </c>
    </row>
    <row r="210" spans="1:18">
      <c r="A210" s="3" t="s">
        <v>74</v>
      </c>
      <c r="B210" s="4">
        <v>45658</v>
      </c>
      <c r="C210" s="5">
        <v>63457.19</v>
      </c>
      <c r="D210" s="5">
        <v>10125</v>
      </c>
      <c r="E210" s="5">
        <v>9.7000000000000003E-2</v>
      </c>
      <c r="F210" s="5">
        <v>24</v>
      </c>
      <c r="G210" s="5">
        <v>87</v>
      </c>
      <c r="H210" s="5">
        <v>3.84</v>
      </c>
      <c r="I210" s="5">
        <v>1</v>
      </c>
      <c r="J210" s="5">
        <v>3.7</v>
      </c>
      <c r="K210" s="5">
        <v>810446.53</v>
      </c>
      <c r="L210" s="5">
        <v>200575.34</v>
      </c>
      <c r="M210" s="12">
        <v>0</v>
      </c>
      <c r="N210" s="12">
        <v>0</v>
      </c>
      <c r="O210" s="12">
        <v>0</v>
      </c>
      <c r="P210" s="12">
        <v>0</v>
      </c>
      <c r="Q210" s="12">
        <v>1</v>
      </c>
      <c r="R210" s="12">
        <v>0</v>
      </c>
    </row>
    <row r="211" spans="1:18">
      <c r="A211" s="3" t="s">
        <v>74</v>
      </c>
      <c r="B211" s="4">
        <v>45689</v>
      </c>
      <c r="C211" s="5">
        <v>62949.7</v>
      </c>
      <c r="D211" s="5">
        <v>9458</v>
      </c>
      <c r="E211" s="5">
        <v>0.17100000000000001</v>
      </c>
      <c r="F211" s="5">
        <v>19</v>
      </c>
      <c r="G211" s="5">
        <v>84.9</v>
      </c>
      <c r="H211" s="5">
        <v>5.09</v>
      </c>
      <c r="I211" s="5">
        <v>0</v>
      </c>
      <c r="J211" s="5">
        <v>3.3</v>
      </c>
      <c r="K211" s="5">
        <v>691288.19</v>
      </c>
      <c r="L211" s="5">
        <v>159074.14000000001</v>
      </c>
      <c r="M211" s="12">
        <v>0</v>
      </c>
      <c r="N211" s="12">
        <v>0</v>
      </c>
      <c r="O211" s="12">
        <v>0</v>
      </c>
      <c r="P211" s="12">
        <v>0</v>
      </c>
      <c r="Q211" s="12">
        <v>1</v>
      </c>
      <c r="R211" s="12">
        <v>0</v>
      </c>
    </row>
    <row r="212" spans="1:18">
      <c r="A212" s="3" t="s">
        <v>74</v>
      </c>
      <c r="B212" s="4">
        <v>45717</v>
      </c>
      <c r="C212" s="5">
        <v>107970.19</v>
      </c>
      <c r="D212" s="5">
        <v>12870</v>
      </c>
      <c r="E212" s="5">
        <v>2.9000000000000001E-2</v>
      </c>
      <c r="F212" s="5">
        <v>31</v>
      </c>
      <c r="G212" s="5">
        <v>91.7</v>
      </c>
      <c r="H212" s="5">
        <v>3.82</v>
      </c>
      <c r="I212" s="5">
        <v>1</v>
      </c>
      <c r="J212" s="5">
        <v>3.7</v>
      </c>
      <c r="K212" s="5">
        <v>946833.54</v>
      </c>
      <c r="L212" s="5">
        <v>184540.31</v>
      </c>
      <c r="M212" s="12">
        <v>0</v>
      </c>
      <c r="N212" s="12">
        <v>0</v>
      </c>
      <c r="O212" s="12">
        <v>0</v>
      </c>
      <c r="P212" s="12">
        <v>0</v>
      </c>
      <c r="Q212" s="12">
        <v>1</v>
      </c>
      <c r="R212" s="12">
        <v>0</v>
      </c>
    </row>
    <row r="213" spans="1:18">
      <c r="A213" s="3" t="s">
        <v>74</v>
      </c>
      <c r="B213" s="4">
        <v>45748</v>
      </c>
      <c r="C213" s="5">
        <v>49405.75</v>
      </c>
      <c r="D213" s="5">
        <v>9752</v>
      </c>
      <c r="E213" s="5">
        <v>9.2999999999999999E-2</v>
      </c>
      <c r="F213" s="5">
        <v>21</v>
      </c>
      <c r="G213" s="5">
        <v>87</v>
      </c>
      <c r="H213" s="5">
        <v>12.28</v>
      </c>
      <c r="I213" s="5">
        <v>0</v>
      </c>
      <c r="J213" s="5">
        <v>4.0999999999999996</v>
      </c>
      <c r="K213" s="5">
        <v>761963.23</v>
      </c>
      <c r="L213" s="5">
        <v>150113.60999999999</v>
      </c>
      <c r="M213" s="12">
        <v>0</v>
      </c>
      <c r="N213" s="12">
        <v>0</v>
      </c>
      <c r="O213" s="12">
        <v>0</v>
      </c>
      <c r="P213" s="12">
        <v>0</v>
      </c>
      <c r="Q213" s="12">
        <v>1</v>
      </c>
      <c r="R213" s="12">
        <v>0</v>
      </c>
    </row>
    <row r="214" spans="1:18">
      <c r="A214" s="3" t="s">
        <v>75</v>
      </c>
      <c r="B214" s="4">
        <v>45658</v>
      </c>
      <c r="C214" s="5">
        <v>50887.46</v>
      </c>
      <c r="D214" s="5">
        <v>9505</v>
      </c>
      <c r="E214" s="5">
        <v>9.0999999999999998E-2</v>
      </c>
      <c r="F214" s="5">
        <v>25</v>
      </c>
      <c r="G214" s="5">
        <v>89.7</v>
      </c>
      <c r="H214" s="5">
        <v>2.8</v>
      </c>
      <c r="I214" s="5">
        <v>0</v>
      </c>
      <c r="J214" s="5">
        <v>4.3</v>
      </c>
      <c r="K214" s="5">
        <v>812152.6</v>
      </c>
      <c r="L214" s="5">
        <v>138419.43</v>
      </c>
      <c r="M214" s="12">
        <v>1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</row>
    <row r="215" spans="1:18">
      <c r="A215" s="3" t="s">
        <v>75</v>
      </c>
      <c r="B215" s="4">
        <v>45689</v>
      </c>
      <c r="C215" s="5">
        <v>41819.449999999997</v>
      </c>
      <c r="D215" s="5">
        <v>9412</v>
      </c>
      <c r="E215" s="5">
        <v>0.15</v>
      </c>
      <c r="F215" s="5">
        <v>22</v>
      </c>
      <c r="G215" s="5">
        <v>91</v>
      </c>
      <c r="H215" s="5">
        <v>3.67</v>
      </c>
      <c r="I215" s="5">
        <v>0</v>
      </c>
      <c r="J215" s="5">
        <v>4.2</v>
      </c>
      <c r="K215" s="5">
        <v>804975.5</v>
      </c>
      <c r="L215" s="5">
        <v>140054.5</v>
      </c>
      <c r="M215" s="12">
        <v>1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</row>
    <row r="216" spans="1:18">
      <c r="A216" s="3" t="s">
        <v>75</v>
      </c>
      <c r="B216" s="4">
        <v>45717</v>
      </c>
      <c r="C216" s="5">
        <v>35296.54</v>
      </c>
      <c r="D216" s="5">
        <v>9644</v>
      </c>
      <c r="E216" s="5">
        <v>0</v>
      </c>
      <c r="F216" s="5">
        <v>22</v>
      </c>
      <c r="G216" s="5">
        <v>88</v>
      </c>
      <c r="H216" s="5">
        <v>2.81</v>
      </c>
      <c r="I216" s="5">
        <v>0</v>
      </c>
      <c r="J216" s="5">
        <v>4.7</v>
      </c>
      <c r="K216" s="5">
        <v>752321.72</v>
      </c>
      <c r="L216" s="5">
        <v>137788.51</v>
      </c>
      <c r="M216" s="12">
        <v>1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</row>
    <row r="217" spans="1:18">
      <c r="A217" s="3" t="s">
        <v>75</v>
      </c>
      <c r="B217" s="4">
        <v>45748</v>
      </c>
      <c r="C217" s="5">
        <v>47391.09</v>
      </c>
      <c r="D217" s="5">
        <v>11224</v>
      </c>
      <c r="E217" s="5">
        <v>0.14699999999999999</v>
      </c>
      <c r="F217" s="5">
        <v>25</v>
      </c>
      <c r="G217" s="5">
        <v>88.4</v>
      </c>
      <c r="H217" s="5">
        <v>2.44</v>
      </c>
      <c r="I217" s="5">
        <v>0</v>
      </c>
      <c r="J217" s="5">
        <v>4.9000000000000004</v>
      </c>
      <c r="K217" s="5">
        <v>836908.24</v>
      </c>
      <c r="L217" s="5">
        <v>141090.26</v>
      </c>
      <c r="M217" s="12">
        <v>1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</row>
    <row r="218" spans="1:18">
      <c r="A218" s="3" t="s">
        <v>76</v>
      </c>
      <c r="B218" s="4">
        <v>45658</v>
      </c>
      <c r="C218" s="5">
        <v>69180.539999999994</v>
      </c>
      <c r="D218" s="5">
        <v>5394</v>
      </c>
      <c r="E218" s="5">
        <v>0.126</v>
      </c>
      <c r="F218" s="5">
        <v>12</v>
      </c>
      <c r="G218" s="5">
        <v>82.9</v>
      </c>
      <c r="H218" s="5">
        <v>3.27</v>
      </c>
      <c r="I218" s="5">
        <v>0</v>
      </c>
      <c r="J218" s="5">
        <v>3.3</v>
      </c>
      <c r="K218" s="5">
        <v>674289.1</v>
      </c>
      <c r="L218" s="5">
        <v>117773.79</v>
      </c>
      <c r="M218" s="12">
        <v>0</v>
      </c>
      <c r="N218" s="12">
        <v>1</v>
      </c>
      <c r="O218" s="12">
        <v>0</v>
      </c>
      <c r="P218" s="12">
        <v>1</v>
      </c>
      <c r="Q218" s="12">
        <v>0</v>
      </c>
      <c r="R218" s="12">
        <v>0</v>
      </c>
    </row>
    <row r="219" spans="1:18">
      <c r="A219" s="3" t="s">
        <v>76</v>
      </c>
      <c r="B219" s="4">
        <v>45689</v>
      </c>
      <c r="C219" s="5">
        <v>33987.33</v>
      </c>
      <c r="D219" s="5">
        <v>5014</v>
      </c>
      <c r="E219" s="5">
        <v>0.246</v>
      </c>
      <c r="F219" s="5">
        <v>17</v>
      </c>
      <c r="G219" s="5">
        <v>94.3</v>
      </c>
      <c r="H219" s="5">
        <v>10.34</v>
      </c>
      <c r="I219" s="5">
        <v>0</v>
      </c>
      <c r="J219" s="5">
        <v>3.9</v>
      </c>
      <c r="K219" s="5">
        <v>622892.42000000004</v>
      </c>
      <c r="L219" s="5">
        <v>101032.52</v>
      </c>
      <c r="M219" s="12">
        <v>0</v>
      </c>
      <c r="N219" s="12">
        <v>1</v>
      </c>
      <c r="O219" s="12">
        <v>0</v>
      </c>
      <c r="P219" s="12">
        <v>1</v>
      </c>
      <c r="Q219" s="12">
        <v>0</v>
      </c>
      <c r="R219" s="12">
        <v>0</v>
      </c>
    </row>
    <row r="220" spans="1:18">
      <c r="A220" s="3" t="s">
        <v>76</v>
      </c>
      <c r="B220" s="4">
        <v>45717</v>
      </c>
      <c r="C220" s="5">
        <v>58785.33</v>
      </c>
      <c r="D220" s="5">
        <v>4467</v>
      </c>
      <c r="E220" s="5">
        <v>0.22900000000000001</v>
      </c>
      <c r="F220" s="5">
        <v>14</v>
      </c>
      <c r="G220" s="5">
        <v>90.7</v>
      </c>
      <c r="H220" s="5">
        <v>1.92</v>
      </c>
      <c r="I220" s="5">
        <v>0</v>
      </c>
      <c r="J220" s="5">
        <v>3.7</v>
      </c>
      <c r="K220" s="5">
        <v>673348.56</v>
      </c>
      <c r="L220" s="5">
        <v>69464.59</v>
      </c>
      <c r="M220" s="12">
        <v>0</v>
      </c>
      <c r="N220" s="12">
        <v>1</v>
      </c>
      <c r="O220" s="12">
        <v>0</v>
      </c>
      <c r="P220" s="12">
        <v>1</v>
      </c>
      <c r="Q220" s="12">
        <v>0</v>
      </c>
      <c r="R220" s="12">
        <v>0</v>
      </c>
    </row>
    <row r="221" spans="1:18">
      <c r="A221" s="3" t="s">
        <v>76</v>
      </c>
      <c r="B221" s="4">
        <v>45748</v>
      </c>
      <c r="C221" s="5">
        <v>16451.849999999999</v>
      </c>
      <c r="D221" s="5">
        <v>4678</v>
      </c>
      <c r="E221" s="5">
        <v>0.13300000000000001</v>
      </c>
      <c r="F221" s="5">
        <v>11</v>
      </c>
      <c r="G221" s="5">
        <v>95.9</v>
      </c>
      <c r="H221" s="5">
        <v>3.1</v>
      </c>
      <c r="I221" s="5">
        <v>0</v>
      </c>
      <c r="J221" s="5">
        <v>3.9</v>
      </c>
      <c r="K221" s="5">
        <v>606278.30000000005</v>
      </c>
      <c r="L221" s="5">
        <v>102213.26</v>
      </c>
      <c r="M221" s="12">
        <v>0</v>
      </c>
      <c r="N221" s="12">
        <v>1</v>
      </c>
      <c r="O221" s="12">
        <v>0</v>
      </c>
      <c r="P221" s="12">
        <v>1</v>
      </c>
      <c r="Q221" s="12">
        <v>0</v>
      </c>
      <c r="R221" s="12">
        <v>0</v>
      </c>
    </row>
    <row r="222" spans="1:18">
      <c r="A222" s="3" t="s">
        <v>77</v>
      </c>
      <c r="B222" s="4">
        <v>45658</v>
      </c>
      <c r="C222" s="5">
        <v>53367.73</v>
      </c>
      <c r="D222" s="5">
        <v>7291</v>
      </c>
      <c r="E222" s="5">
        <v>0.14599999999999999</v>
      </c>
      <c r="F222" s="5">
        <v>18</v>
      </c>
      <c r="G222" s="5">
        <v>90.6</v>
      </c>
      <c r="H222" s="5">
        <v>6.34</v>
      </c>
      <c r="I222" s="5">
        <v>1</v>
      </c>
      <c r="J222" s="5">
        <v>3.8</v>
      </c>
      <c r="K222" s="5">
        <v>712219.81</v>
      </c>
      <c r="L222" s="5">
        <v>85906.54</v>
      </c>
      <c r="M222" s="12">
        <v>0</v>
      </c>
      <c r="N222" s="12">
        <v>0</v>
      </c>
      <c r="O222" s="12">
        <v>0</v>
      </c>
      <c r="P222" s="12">
        <v>0</v>
      </c>
      <c r="Q222" s="12">
        <v>1</v>
      </c>
      <c r="R222" s="12">
        <v>0</v>
      </c>
    </row>
    <row r="223" spans="1:18">
      <c r="A223" s="3" t="s">
        <v>77</v>
      </c>
      <c r="B223" s="4">
        <v>45689</v>
      </c>
      <c r="C223" s="5">
        <v>27194.639999999999</v>
      </c>
      <c r="D223" s="5">
        <v>7404</v>
      </c>
      <c r="E223" s="5">
        <v>8.7999999999999995E-2</v>
      </c>
      <c r="F223" s="5">
        <v>18</v>
      </c>
      <c r="G223" s="5">
        <v>90.2</v>
      </c>
      <c r="H223" s="5">
        <v>1.2</v>
      </c>
      <c r="I223" s="5">
        <v>0</v>
      </c>
      <c r="J223" s="5">
        <v>3.4</v>
      </c>
      <c r="K223" s="5">
        <v>672670.54</v>
      </c>
      <c r="L223" s="5">
        <v>132684.18</v>
      </c>
      <c r="M223" s="12">
        <v>0</v>
      </c>
      <c r="N223" s="12">
        <v>0</v>
      </c>
      <c r="O223" s="12">
        <v>0</v>
      </c>
      <c r="P223" s="12">
        <v>0</v>
      </c>
      <c r="Q223" s="12">
        <v>1</v>
      </c>
      <c r="R223" s="12">
        <v>0</v>
      </c>
    </row>
    <row r="224" spans="1:18">
      <c r="A224" s="3" t="s">
        <v>77</v>
      </c>
      <c r="B224" s="4">
        <v>45717</v>
      </c>
      <c r="C224" s="5">
        <v>66962.740000000005</v>
      </c>
      <c r="D224" s="5">
        <v>7880</v>
      </c>
      <c r="E224" s="5">
        <v>0.11600000000000001</v>
      </c>
      <c r="F224" s="5">
        <v>19</v>
      </c>
      <c r="G224" s="5">
        <v>90.4</v>
      </c>
      <c r="H224" s="5">
        <v>4.5</v>
      </c>
      <c r="I224" s="5">
        <v>0</v>
      </c>
      <c r="J224" s="5">
        <v>3.3</v>
      </c>
      <c r="K224" s="5">
        <v>732667.92</v>
      </c>
      <c r="L224" s="5">
        <v>128654.46</v>
      </c>
      <c r="M224" s="12">
        <v>0</v>
      </c>
      <c r="N224" s="12">
        <v>0</v>
      </c>
      <c r="O224" s="12">
        <v>0</v>
      </c>
      <c r="P224" s="12">
        <v>0</v>
      </c>
      <c r="Q224" s="12">
        <v>1</v>
      </c>
      <c r="R224" s="12">
        <v>0</v>
      </c>
    </row>
    <row r="225" spans="1:18">
      <c r="A225" s="3" t="s">
        <v>77</v>
      </c>
      <c r="B225" s="4">
        <v>45748</v>
      </c>
      <c r="C225" s="5">
        <v>73540.990000000005</v>
      </c>
      <c r="D225" s="5">
        <v>8773</v>
      </c>
      <c r="E225" s="5">
        <v>3.5000000000000003E-2</v>
      </c>
      <c r="F225" s="5">
        <v>21</v>
      </c>
      <c r="G225" s="5">
        <v>84.4</v>
      </c>
      <c r="H225" s="5">
        <v>6.68</v>
      </c>
      <c r="I225" s="5">
        <v>0</v>
      </c>
      <c r="J225" s="5">
        <v>3.6</v>
      </c>
      <c r="K225" s="5">
        <v>723531.4</v>
      </c>
      <c r="L225" s="5">
        <v>108794.85</v>
      </c>
      <c r="M225" s="12">
        <v>0</v>
      </c>
      <c r="N225" s="12">
        <v>0</v>
      </c>
      <c r="O225" s="12">
        <v>0</v>
      </c>
      <c r="P225" s="12">
        <v>0</v>
      </c>
      <c r="Q225" s="12">
        <v>1</v>
      </c>
      <c r="R225" s="12">
        <v>0</v>
      </c>
    </row>
    <row r="226" spans="1:18">
      <c r="A226" s="3" t="s">
        <v>78</v>
      </c>
      <c r="B226" s="4">
        <v>45658</v>
      </c>
      <c r="C226" s="5">
        <v>68212.289999999994</v>
      </c>
      <c r="D226" s="5">
        <v>4713</v>
      </c>
      <c r="E226" s="5">
        <v>0.19800000000000001</v>
      </c>
      <c r="F226" s="5">
        <v>15</v>
      </c>
      <c r="G226" s="5">
        <v>82.6</v>
      </c>
      <c r="H226" s="5">
        <v>4.07</v>
      </c>
      <c r="I226" s="5">
        <v>1</v>
      </c>
      <c r="J226" s="5">
        <v>3</v>
      </c>
      <c r="K226" s="5">
        <v>641564.6</v>
      </c>
      <c r="L226" s="5">
        <v>90468.96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1</v>
      </c>
    </row>
    <row r="227" spans="1:18">
      <c r="A227" s="3" t="s">
        <v>78</v>
      </c>
      <c r="B227" s="4">
        <v>45689</v>
      </c>
      <c r="C227" s="5">
        <v>57225.98</v>
      </c>
      <c r="D227" s="5">
        <v>2842</v>
      </c>
      <c r="E227" s="5">
        <v>0.112</v>
      </c>
      <c r="F227" s="5">
        <v>10</v>
      </c>
      <c r="G227" s="5">
        <v>79.5</v>
      </c>
      <c r="H227" s="5">
        <v>5.45</v>
      </c>
      <c r="I227" s="5">
        <v>0</v>
      </c>
      <c r="J227" s="5">
        <v>3.4</v>
      </c>
      <c r="K227" s="5">
        <v>536545.49</v>
      </c>
      <c r="L227" s="5">
        <v>97917.45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1</v>
      </c>
    </row>
    <row r="228" spans="1:18">
      <c r="A228" s="3" t="s">
        <v>78</v>
      </c>
      <c r="B228" s="4">
        <v>45717</v>
      </c>
      <c r="C228" s="5">
        <v>42932.02</v>
      </c>
      <c r="D228" s="5">
        <v>3872</v>
      </c>
      <c r="E228" s="5">
        <v>0.17100000000000001</v>
      </c>
      <c r="F228" s="5">
        <v>12</v>
      </c>
      <c r="G228" s="5">
        <v>83.2</v>
      </c>
      <c r="H228" s="5">
        <v>15.58</v>
      </c>
      <c r="I228" s="5">
        <v>0</v>
      </c>
      <c r="J228" s="5">
        <v>3.3</v>
      </c>
      <c r="K228" s="5">
        <v>527681.56000000006</v>
      </c>
      <c r="L228" s="5">
        <v>63153.05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1</v>
      </c>
    </row>
    <row r="229" spans="1:18">
      <c r="A229" s="3" t="s">
        <v>78</v>
      </c>
      <c r="B229" s="4">
        <v>45748</v>
      </c>
      <c r="C229" s="5">
        <v>39341.449999999997</v>
      </c>
      <c r="D229" s="5">
        <v>1375</v>
      </c>
      <c r="E229" s="5">
        <v>9.2999999999999999E-2</v>
      </c>
      <c r="F229" s="5">
        <v>5</v>
      </c>
      <c r="G229" s="5">
        <v>95</v>
      </c>
      <c r="H229" s="5">
        <v>5.32</v>
      </c>
      <c r="I229" s="5">
        <v>0</v>
      </c>
      <c r="J229" s="5">
        <v>3.9</v>
      </c>
      <c r="K229" s="5">
        <v>529598.93999999994</v>
      </c>
      <c r="L229" s="5">
        <v>84334.33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1</v>
      </c>
    </row>
    <row r="230" spans="1:18">
      <c r="A230" s="3" t="s">
        <v>79</v>
      </c>
      <c r="B230" s="4">
        <v>45658</v>
      </c>
      <c r="C230" s="5">
        <v>37324.230000000003</v>
      </c>
      <c r="D230" s="5">
        <v>5957</v>
      </c>
      <c r="E230" s="5">
        <v>7.0999999999999994E-2</v>
      </c>
      <c r="F230" s="5">
        <v>12</v>
      </c>
      <c r="G230" s="5">
        <v>85.9</v>
      </c>
      <c r="H230" s="5">
        <v>0.37</v>
      </c>
      <c r="I230" s="5">
        <v>0</v>
      </c>
      <c r="J230" s="5">
        <v>3.8</v>
      </c>
      <c r="K230" s="5">
        <v>570963.31000000006</v>
      </c>
      <c r="L230" s="5">
        <v>87342.25</v>
      </c>
      <c r="M230" s="12">
        <v>0</v>
      </c>
      <c r="N230" s="12">
        <v>0</v>
      </c>
      <c r="O230" s="12">
        <v>0</v>
      </c>
      <c r="P230" s="12">
        <v>0</v>
      </c>
      <c r="Q230" s="12">
        <v>1</v>
      </c>
      <c r="R230" s="12">
        <v>0</v>
      </c>
    </row>
    <row r="231" spans="1:18">
      <c r="A231" s="3" t="s">
        <v>79</v>
      </c>
      <c r="B231" s="4">
        <v>45689</v>
      </c>
      <c r="C231" s="5">
        <v>113736</v>
      </c>
      <c r="D231" s="5">
        <v>8961</v>
      </c>
      <c r="E231" s="5">
        <v>0.20200000000000001</v>
      </c>
      <c r="F231" s="5">
        <v>24</v>
      </c>
      <c r="G231" s="5">
        <v>86.2</v>
      </c>
      <c r="H231" s="5">
        <v>21.63</v>
      </c>
      <c r="I231" s="5">
        <v>0</v>
      </c>
      <c r="J231" s="5">
        <v>4</v>
      </c>
      <c r="K231" s="5">
        <v>870937.4</v>
      </c>
      <c r="L231" s="5">
        <v>175282.74</v>
      </c>
      <c r="M231" s="12">
        <v>0</v>
      </c>
      <c r="N231" s="12">
        <v>0</v>
      </c>
      <c r="O231" s="12">
        <v>0</v>
      </c>
      <c r="P231" s="12">
        <v>0</v>
      </c>
      <c r="Q231" s="12">
        <v>1</v>
      </c>
      <c r="R231" s="12">
        <v>0</v>
      </c>
    </row>
    <row r="232" spans="1:18">
      <c r="A232" s="3" t="s">
        <v>79</v>
      </c>
      <c r="B232" s="4">
        <v>45717</v>
      </c>
      <c r="C232" s="5">
        <v>33173.949999999997</v>
      </c>
      <c r="D232" s="5">
        <v>6545</v>
      </c>
      <c r="E232" s="5">
        <v>0.16900000000000001</v>
      </c>
      <c r="F232" s="5">
        <v>15</v>
      </c>
      <c r="G232" s="5">
        <v>84.4</v>
      </c>
      <c r="H232" s="5">
        <v>2.48</v>
      </c>
      <c r="I232" s="5">
        <v>0</v>
      </c>
      <c r="J232" s="5">
        <v>3.9</v>
      </c>
      <c r="K232" s="5">
        <v>596969.27</v>
      </c>
      <c r="L232" s="5">
        <v>105669.51</v>
      </c>
      <c r="M232" s="12">
        <v>0</v>
      </c>
      <c r="N232" s="12">
        <v>0</v>
      </c>
      <c r="O232" s="12">
        <v>0</v>
      </c>
      <c r="P232" s="12">
        <v>0</v>
      </c>
      <c r="Q232" s="12">
        <v>1</v>
      </c>
      <c r="R232" s="12">
        <v>0</v>
      </c>
    </row>
    <row r="233" spans="1:18">
      <c r="A233" s="3" t="s">
        <v>79</v>
      </c>
      <c r="B233" s="4">
        <v>45748</v>
      </c>
      <c r="C233" s="5">
        <v>25818.080000000002</v>
      </c>
      <c r="D233" s="5">
        <v>5457</v>
      </c>
      <c r="E233" s="5">
        <v>0</v>
      </c>
      <c r="F233" s="5">
        <v>11</v>
      </c>
      <c r="G233" s="5">
        <v>95.4</v>
      </c>
      <c r="H233" s="5">
        <v>3.37</v>
      </c>
      <c r="I233" s="5">
        <v>0</v>
      </c>
      <c r="J233" s="5">
        <v>3.7</v>
      </c>
      <c r="K233" s="5">
        <v>647512.85</v>
      </c>
      <c r="L233" s="5">
        <v>153835.57</v>
      </c>
      <c r="M233" s="12">
        <v>0</v>
      </c>
      <c r="N233" s="12">
        <v>0</v>
      </c>
      <c r="O233" s="12">
        <v>0</v>
      </c>
      <c r="P233" s="12">
        <v>0</v>
      </c>
      <c r="Q233" s="12">
        <v>1</v>
      </c>
      <c r="R233" s="12">
        <v>0</v>
      </c>
    </row>
    <row r="234" spans="1:18">
      <c r="A234" s="3" t="s">
        <v>80</v>
      </c>
      <c r="B234" s="4">
        <v>45658</v>
      </c>
      <c r="C234" s="5">
        <v>47241.919999999998</v>
      </c>
      <c r="D234" s="5">
        <v>4264</v>
      </c>
      <c r="E234" s="5">
        <v>6.9000000000000006E-2</v>
      </c>
      <c r="F234" s="5">
        <v>13</v>
      </c>
      <c r="G234" s="5">
        <v>95.3</v>
      </c>
      <c r="H234" s="5">
        <v>0.85</v>
      </c>
      <c r="I234" s="5">
        <v>0</v>
      </c>
      <c r="J234" s="5">
        <v>4.3</v>
      </c>
      <c r="K234" s="5">
        <v>658072.14</v>
      </c>
      <c r="L234" s="5">
        <v>110595.89</v>
      </c>
      <c r="M234" s="12">
        <v>1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</row>
    <row r="235" spans="1:18">
      <c r="A235" s="3" t="s">
        <v>80</v>
      </c>
      <c r="B235" s="4">
        <v>45689</v>
      </c>
      <c r="C235" s="5">
        <v>61650.79</v>
      </c>
      <c r="D235" s="5">
        <v>5321</v>
      </c>
      <c r="E235" s="5">
        <v>0.126</v>
      </c>
      <c r="F235" s="5">
        <v>17</v>
      </c>
      <c r="G235" s="5">
        <v>89.2</v>
      </c>
      <c r="H235" s="5">
        <v>2.13</v>
      </c>
      <c r="I235" s="5">
        <v>0</v>
      </c>
      <c r="J235" s="5">
        <v>4</v>
      </c>
      <c r="K235" s="5">
        <v>723305.11</v>
      </c>
      <c r="L235" s="5">
        <v>128468.7</v>
      </c>
      <c r="M235" s="12">
        <v>1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</row>
    <row r="236" spans="1:18">
      <c r="A236" s="3" t="s">
        <v>80</v>
      </c>
      <c r="B236" s="4">
        <v>45717</v>
      </c>
      <c r="C236" s="5">
        <v>62582.71</v>
      </c>
      <c r="D236" s="5">
        <v>5479</v>
      </c>
      <c r="E236" s="5">
        <v>4.8000000000000001E-2</v>
      </c>
      <c r="F236" s="5">
        <v>16</v>
      </c>
      <c r="G236" s="5">
        <v>81.2</v>
      </c>
      <c r="H236" s="5">
        <v>1.46</v>
      </c>
      <c r="I236" s="5">
        <v>0</v>
      </c>
      <c r="J236" s="5">
        <v>4.5</v>
      </c>
      <c r="K236" s="5">
        <v>640666.53</v>
      </c>
      <c r="L236" s="5">
        <v>134919.16</v>
      </c>
      <c r="M236" s="12">
        <v>1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</row>
    <row r="237" spans="1:18">
      <c r="A237" s="3" t="s">
        <v>80</v>
      </c>
      <c r="B237" s="4">
        <v>45748</v>
      </c>
      <c r="C237" s="5">
        <v>47944.14</v>
      </c>
      <c r="D237" s="5">
        <v>6169</v>
      </c>
      <c r="E237" s="5">
        <v>0.11899999999999999</v>
      </c>
      <c r="F237" s="5">
        <v>17</v>
      </c>
      <c r="G237" s="5">
        <v>92.2</v>
      </c>
      <c r="H237" s="5">
        <v>3.02</v>
      </c>
      <c r="I237" s="5">
        <v>0</v>
      </c>
      <c r="J237" s="5">
        <v>4.0999999999999996</v>
      </c>
      <c r="K237" s="5">
        <v>670629.48</v>
      </c>
      <c r="L237" s="5">
        <v>100140.8</v>
      </c>
      <c r="M237" s="12">
        <v>1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</row>
    <row r="238" spans="1:18">
      <c r="A238" s="3" t="s">
        <v>81</v>
      </c>
      <c r="B238" s="4">
        <v>45658</v>
      </c>
      <c r="C238" s="5">
        <v>46495.4</v>
      </c>
      <c r="D238" s="5">
        <v>9908</v>
      </c>
      <c r="E238" s="5">
        <v>0.121</v>
      </c>
      <c r="F238" s="5">
        <v>22</v>
      </c>
      <c r="G238" s="5">
        <v>89.4</v>
      </c>
      <c r="H238" s="5">
        <v>3.22</v>
      </c>
      <c r="I238" s="5">
        <v>0</v>
      </c>
      <c r="J238" s="5">
        <v>3.7</v>
      </c>
      <c r="K238" s="5">
        <v>721079.35</v>
      </c>
      <c r="L238" s="5">
        <v>115295.05</v>
      </c>
      <c r="M238" s="12">
        <v>1</v>
      </c>
      <c r="N238" s="12">
        <v>0</v>
      </c>
      <c r="O238" s="12">
        <v>0</v>
      </c>
      <c r="P238" s="12">
        <v>0</v>
      </c>
      <c r="Q238" s="12">
        <v>0</v>
      </c>
      <c r="R238" s="12">
        <v>1</v>
      </c>
    </row>
    <row r="239" spans="1:18">
      <c r="A239" s="3" t="s">
        <v>81</v>
      </c>
      <c r="B239" s="4">
        <v>45689</v>
      </c>
      <c r="C239" s="5">
        <v>72961.95</v>
      </c>
      <c r="D239" s="5">
        <v>9996</v>
      </c>
      <c r="E239" s="5">
        <v>0.106</v>
      </c>
      <c r="F239" s="5">
        <v>22</v>
      </c>
      <c r="G239" s="5">
        <v>89.1</v>
      </c>
      <c r="H239" s="5">
        <v>15.66</v>
      </c>
      <c r="I239" s="5">
        <v>0</v>
      </c>
      <c r="J239" s="5">
        <v>3.4</v>
      </c>
      <c r="K239" s="5">
        <v>810355.02</v>
      </c>
      <c r="L239" s="5">
        <v>131510</v>
      </c>
      <c r="M239" s="12">
        <v>1</v>
      </c>
      <c r="N239" s="12">
        <v>0</v>
      </c>
      <c r="O239" s="12">
        <v>0</v>
      </c>
      <c r="P239" s="12">
        <v>0</v>
      </c>
      <c r="Q239" s="12">
        <v>0</v>
      </c>
      <c r="R239" s="12">
        <v>1</v>
      </c>
    </row>
    <row r="240" spans="1:18">
      <c r="A240" s="3" t="s">
        <v>81</v>
      </c>
      <c r="B240" s="4">
        <v>45717</v>
      </c>
      <c r="C240" s="5">
        <v>59060.05</v>
      </c>
      <c r="D240" s="5">
        <v>9702</v>
      </c>
      <c r="E240" s="5">
        <v>0.20100000000000001</v>
      </c>
      <c r="F240" s="5">
        <v>23</v>
      </c>
      <c r="G240" s="5">
        <v>80.900000000000006</v>
      </c>
      <c r="H240" s="5">
        <v>6.96</v>
      </c>
      <c r="I240" s="5">
        <v>0</v>
      </c>
      <c r="J240" s="5">
        <v>3.2</v>
      </c>
      <c r="K240" s="5">
        <v>761919.25</v>
      </c>
      <c r="L240" s="5">
        <v>111893.06</v>
      </c>
      <c r="M240" s="12">
        <v>1</v>
      </c>
      <c r="N240" s="12">
        <v>0</v>
      </c>
      <c r="O240" s="12">
        <v>0</v>
      </c>
      <c r="P240" s="12">
        <v>0</v>
      </c>
      <c r="Q240" s="12">
        <v>0</v>
      </c>
      <c r="R240" s="12">
        <v>1</v>
      </c>
    </row>
    <row r="241" spans="1:18">
      <c r="A241" s="3" t="s">
        <v>81</v>
      </c>
      <c r="B241" s="4">
        <v>45748</v>
      </c>
      <c r="C241" s="5">
        <v>26248.1</v>
      </c>
      <c r="D241" s="5">
        <v>9314</v>
      </c>
      <c r="E241" s="5">
        <v>0.186</v>
      </c>
      <c r="F241" s="5">
        <v>21</v>
      </c>
      <c r="G241" s="5">
        <v>83.7</v>
      </c>
      <c r="H241" s="5">
        <v>4.62</v>
      </c>
      <c r="I241" s="5">
        <v>0</v>
      </c>
      <c r="J241" s="5">
        <v>3.3</v>
      </c>
      <c r="K241" s="5">
        <v>737070.18</v>
      </c>
      <c r="L241" s="5">
        <v>117593.97</v>
      </c>
      <c r="M241" s="12">
        <v>1</v>
      </c>
      <c r="N241" s="12">
        <v>0</v>
      </c>
      <c r="O241" s="12">
        <v>0</v>
      </c>
      <c r="P241" s="12">
        <v>0</v>
      </c>
      <c r="Q241" s="12">
        <v>0</v>
      </c>
      <c r="R241" s="12">
        <v>1</v>
      </c>
    </row>
    <row r="242" spans="1:18">
      <c r="A242" s="3" t="s">
        <v>82</v>
      </c>
      <c r="B242" s="4">
        <v>45658</v>
      </c>
      <c r="C242" s="5">
        <v>69900.12</v>
      </c>
      <c r="D242" s="5">
        <v>8055</v>
      </c>
      <c r="E242" s="5">
        <v>0.28100000000000003</v>
      </c>
      <c r="F242" s="5">
        <v>22</v>
      </c>
      <c r="G242" s="5">
        <v>85.6</v>
      </c>
      <c r="H242" s="5">
        <v>10.68</v>
      </c>
      <c r="I242" s="5">
        <v>1</v>
      </c>
      <c r="J242" s="5">
        <v>2.9</v>
      </c>
      <c r="K242" s="5">
        <v>776992.93</v>
      </c>
      <c r="L242" s="5">
        <v>101598.32</v>
      </c>
      <c r="M242" s="12">
        <v>0</v>
      </c>
      <c r="N242" s="12">
        <v>0</v>
      </c>
      <c r="O242" s="12">
        <v>1</v>
      </c>
      <c r="P242" s="12">
        <v>1</v>
      </c>
      <c r="Q242" s="12">
        <v>0</v>
      </c>
      <c r="R242" s="12">
        <v>0</v>
      </c>
    </row>
    <row r="243" spans="1:18">
      <c r="A243" s="3" t="s">
        <v>82</v>
      </c>
      <c r="B243" s="4">
        <v>45689</v>
      </c>
      <c r="C243" s="5">
        <v>51781.599999999999</v>
      </c>
      <c r="D243" s="5">
        <v>5648</v>
      </c>
      <c r="E243" s="5">
        <v>5.8999999999999997E-2</v>
      </c>
      <c r="F243" s="5">
        <v>13</v>
      </c>
      <c r="G243" s="5">
        <v>85.5</v>
      </c>
      <c r="H243" s="5">
        <v>4.04</v>
      </c>
      <c r="I243" s="5">
        <v>0</v>
      </c>
      <c r="J243" s="5">
        <v>3.7</v>
      </c>
      <c r="K243" s="5">
        <v>676337.41</v>
      </c>
      <c r="L243" s="5">
        <v>104355.77</v>
      </c>
      <c r="M243" s="12">
        <v>0</v>
      </c>
      <c r="N243" s="12">
        <v>0</v>
      </c>
      <c r="O243" s="12">
        <v>1</v>
      </c>
      <c r="P243" s="12">
        <v>1</v>
      </c>
      <c r="Q243" s="12">
        <v>0</v>
      </c>
      <c r="R243" s="12">
        <v>0</v>
      </c>
    </row>
    <row r="244" spans="1:18">
      <c r="A244" s="3" t="s">
        <v>82</v>
      </c>
      <c r="B244" s="4">
        <v>45717</v>
      </c>
      <c r="C244" s="5">
        <v>70799.64</v>
      </c>
      <c r="D244" s="5">
        <v>10076</v>
      </c>
      <c r="E244" s="5">
        <v>0.152</v>
      </c>
      <c r="F244" s="5">
        <v>24</v>
      </c>
      <c r="G244" s="5">
        <v>84.8</v>
      </c>
      <c r="H244" s="5">
        <v>1.87</v>
      </c>
      <c r="I244" s="5">
        <v>0</v>
      </c>
      <c r="J244" s="5">
        <v>3.5</v>
      </c>
      <c r="K244" s="5">
        <v>828219.67</v>
      </c>
      <c r="L244" s="5">
        <v>179806.87</v>
      </c>
      <c r="M244" s="12">
        <v>0</v>
      </c>
      <c r="N244" s="12">
        <v>0</v>
      </c>
      <c r="O244" s="12">
        <v>1</v>
      </c>
      <c r="P244" s="12">
        <v>1</v>
      </c>
      <c r="Q244" s="12">
        <v>0</v>
      </c>
      <c r="R244" s="12">
        <v>0</v>
      </c>
    </row>
    <row r="245" spans="1:18">
      <c r="A245" s="3" t="s">
        <v>82</v>
      </c>
      <c r="B245" s="4">
        <v>45748</v>
      </c>
      <c r="C245" s="5">
        <v>53546.34</v>
      </c>
      <c r="D245" s="5">
        <v>8004</v>
      </c>
      <c r="E245" s="5">
        <v>0</v>
      </c>
      <c r="F245" s="5">
        <v>21</v>
      </c>
      <c r="G245" s="5">
        <v>95.2</v>
      </c>
      <c r="H245" s="5">
        <v>2.83</v>
      </c>
      <c r="I245" s="5">
        <v>0</v>
      </c>
      <c r="J245" s="5">
        <v>3</v>
      </c>
      <c r="K245" s="5">
        <v>763159.92</v>
      </c>
      <c r="L245" s="5">
        <v>177104.87</v>
      </c>
      <c r="M245" s="12">
        <v>0</v>
      </c>
      <c r="N245" s="12">
        <v>0</v>
      </c>
      <c r="O245" s="12">
        <v>1</v>
      </c>
      <c r="P245" s="12">
        <v>1</v>
      </c>
      <c r="Q245" s="12">
        <v>0</v>
      </c>
      <c r="R245" s="12">
        <v>0</v>
      </c>
    </row>
    <row r="246" spans="1:18">
      <c r="A246" s="3" t="s">
        <v>83</v>
      </c>
      <c r="B246" s="4">
        <v>45658</v>
      </c>
      <c r="C246" s="5">
        <v>76942.2</v>
      </c>
      <c r="D246" s="5">
        <v>8934</v>
      </c>
      <c r="E246" s="5">
        <v>8.4000000000000005E-2</v>
      </c>
      <c r="F246" s="5">
        <v>20</v>
      </c>
      <c r="G246" s="5">
        <v>91</v>
      </c>
      <c r="H246" s="5">
        <v>0.95</v>
      </c>
      <c r="I246" s="5">
        <v>0</v>
      </c>
      <c r="J246" s="5">
        <v>3.2</v>
      </c>
      <c r="K246" s="5">
        <v>802001.68</v>
      </c>
      <c r="L246" s="5">
        <v>159715.82</v>
      </c>
      <c r="M246" s="12">
        <v>0</v>
      </c>
      <c r="N246" s="12">
        <v>0</v>
      </c>
      <c r="O246" s="12">
        <v>0</v>
      </c>
      <c r="P246" s="12">
        <v>0</v>
      </c>
      <c r="Q246" s="12">
        <v>1</v>
      </c>
      <c r="R246" s="12">
        <v>0</v>
      </c>
    </row>
    <row r="247" spans="1:18">
      <c r="A247" s="3" t="s">
        <v>83</v>
      </c>
      <c r="B247" s="4">
        <v>45689</v>
      </c>
      <c r="C247" s="5">
        <v>48060.78</v>
      </c>
      <c r="D247" s="5">
        <v>8733</v>
      </c>
      <c r="E247" s="5">
        <v>0</v>
      </c>
      <c r="F247" s="5">
        <v>20</v>
      </c>
      <c r="G247" s="5">
        <v>89.9</v>
      </c>
      <c r="H247" s="5">
        <v>0.8</v>
      </c>
      <c r="I247" s="5">
        <v>0</v>
      </c>
      <c r="J247" s="5">
        <v>3.4</v>
      </c>
      <c r="K247" s="5">
        <v>750471.34</v>
      </c>
      <c r="L247" s="5">
        <v>133788.04</v>
      </c>
      <c r="M247" s="12">
        <v>0</v>
      </c>
      <c r="N247" s="12">
        <v>0</v>
      </c>
      <c r="O247" s="12">
        <v>0</v>
      </c>
      <c r="P247" s="12">
        <v>0</v>
      </c>
      <c r="Q247" s="12">
        <v>1</v>
      </c>
      <c r="R247" s="12">
        <v>0</v>
      </c>
    </row>
    <row r="248" spans="1:18">
      <c r="A248" s="3" t="s">
        <v>83</v>
      </c>
      <c r="B248" s="4">
        <v>45717</v>
      </c>
      <c r="C248" s="5">
        <v>57390.04</v>
      </c>
      <c r="D248" s="5">
        <v>7374</v>
      </c>
      <c r="E248" s="5">
        <v>0.21</v>
      </c>
      <c r="F248" s="5">
        <v>21</v>
      </c>
      <c r="G248" s="5">
        <v>91.8</v>
      </c>
      <c r="H248" s="5">
        <v>0.2</v>
      </c>
      <c r="I248" s="5">
        <v>0</v>
      </c>
      <c r="J248" s="5">
        <v>3.1</v>
      </c>
      <c r="K248" s="5">
        <v>679230.86</v>
      </c>
      <c r="L248" s="5">
        <v>106927.58</v>
      </c>
      <c r="M248" s="12">
        <v>0</v>
      </c>
      <c r="N248" s="12">
        <v>0</v>
      </c>
      <c r="O248" s="12">
        <v>0</v>
      </c>
      <c r="P248" s="12">
        <v>0</v>
      </c>
      <c r="Q248" s="12">
        <v>1</v>
      </c>
      <c r="R248" s="12">
        <v>0</v>
      </c>
    </row>
    <row r="249" spans="1:18">
      <c r="A249" s="3" t="s">
        <v>83</v>
      </c>
      <c r="B249" s="4">
        <v>45748</v>
      </c>
      <c r="C249" s="5">
        <v>21536.18</v>
      </c>
      <c r="D249" s="5">
        <v>8119</v>
      </c>
      <c r="E249" s="5">
        <v>0.22700000000000001</v>
      </c>
      <c r="F249" s="5">
        <v>20</v>
      </c>
      <c r="G249" s="5">
        <v>90.4</v>
      </c>
      <c r="H249" s="5">
        <v>1.7</v>
      </c>
      <c r="I249" s="5">
        <v>0</v>
      </c>
      <c r="J249" s="5">
        <v>3.3</v>
      </c>
      <c r="K249" s="5">
        <v>679888.74</v>
      </c>
      <c r="L249" s="5">
        <v>83406.89</v>
      </c>
      <c r="M249" s="12">
        <v>0</v>
      </c>
      <c r="N249" s="12">
        <v>0</v>
      </c>
      <c r="O249" s="12">
        <v>0</v>
      </c>
      <c r="P249" s="12">
        <v>0</v>
      </c>
      <c r="Q249" s="12">
        <v>1</v>
      </c>
      <c r="R249" s="12">
        <v>0</v>
      </c>
    </row>
    <row r="250" spans="1:18">
      <c r="A250" s="3" t="s">
        <v>84</v>
      </c>
      <c r="B250" s="4">
        <v>45658</v>
      </c>
      <c r="C250" s="5">
        <v>40923.67</v>
      </c>
      <c r="D250" s="5">
        <v>3875</v>
      </c>
      <c r="E250" s="5">
        <v>0.15</v>
      </c>
      <c r="F250" s="5">
        <v>10</v>
      </c>
      <c r="G250" s="5">
        <v>96.1</v>
      </c>
      <c r="H250" s="5">
        <v>3.37</v>
      </c>
      <c r="I250" s="5">
        <v>0</v>
      </c>
      <c r="J250" s="5">
        <v>3.8</v>
      </c>
      <c r="K250" s="5">
        <v>606783.67000000004</v>
      </c>
      <c r="L250" s="5">
        <v>74515.87</v>
      </c>
      <c r="M250" s="12">
        <v>0</v>
      </c>
      <c r="N250" s="12">
        <v>1</v>
      </c>
      <c r="O250" s="12">
        <v>0</v>
      </c>
      <c r="P250" s="12">
        <v>0</v>
      </c>
      <c r="Q250" s="12">
        <v>1</v>
      </c>
      <c r="R250" s="12">
        <v>0</v>
      </c>
    </row>
    <row r="251" spans="1:18">
      <c r="A251" s="3" t="s">
        <v>84</v>
      </c>
      <c r="B251" s="4">
        <v>45689</v>
      </c>
      <c r="C251" s="5">
        <v>72932.55</v>
      </c>
      <c r="D251" s="5">
        <v>5765</v>
      </c>
      <c r="E251" s="5">
        <v>2.5999999999999999E-2</v>
      </c>
      <c r="F251" s="5">
        <v>17</v>
      </c>
      <c r="G251" s="5">
        <v>81.8</v>
      </c>
      <c r="H251" s="5">
        <v>5.0999999999999996</v>
      </c>
      <c r="I251" s="5">
        <v>0</v>
      </c>
      <c r="J251" s="5">
        <v>3.6</v>
      </c>
      <c r="K251" s="5">
        <v>642751.42000000004</v>
      </c>
      <c r="L251" s="5">
        <v>131942.15</v>
      </c>
      <c r="M251" s="12">
        <v>0</v>
      </c>
      <c r="N251" s="12">
        <v>1</v>
      </c>
      <c r="O251" s="12">
        <v>0</v>
      </c>
      <c r="P251" s="12">
        <v>0</v>
      </c>
      <c r="Q251" s="12">
        <v>1</v>
      </c>
      <c r="R251" s="12">
        <v>0</v>
      </c>
    </row>
    <row r="252" spans="1:18">
      <c r="A252" s="3" t="s">
        <v>84</v>
      </c>
      <c r="B252" s="4">
        <v>45717</v>
      </c>
      <c r="C252" s="5">
        <v>38361.93</v>
      </c>
      <c r="D252" s="5">
        <v>6322</v>
      </c>
      <c r="E252" s="5">
        <v>0.27300000000000002</v>
      </c>
      <c r="F252" s="5">
        <v>15</v>
      </c>
      <c r="G252" s="5">
        <v>88.4</v>
      </c>
      <c r="H252" s="5">
        <v>0.83</v>
      </c>
      <c r="I252" s="5">
        <v>0</v>
      </c>
      <c r="J252" s="5">
        <v>4</v>
      </c>
      <c r="K252" s="5">
        <v>647953.78</v>
      </c>
      <c r="L252" s="5">
        <v>118497.43</v>
      </c>
      <c r="M252" s="12">
        <v>0</v>
      </c>
      <c r="N252" s="12">
        <v>1</v>
      </c>
      <c r="O252" s="12">
        <v>0</v>
      </c>
      <c r="P252" s="12">
        <v>0</v>
      </c>
      <c r="Q252" s="12">
        <v>1</v>
      </c>
      <c r="R252" s="12">
        <v>0</v>
      </c>
    </row>
    <row r="253" spans="1:18">
      <c r="A253" s="3" t="s">
        <v>84</v>
      </c>
      <c r="B253" s="4">
        <v>45748</v>
      </c>
      <c r="C253" s="5">
        <v>97480.94</v>
      </c>
      <c r="D253" s="5">
        <v>6840</v>
      </c>
      <c r="E253" s="5">
        <v>8.6999999999999994E-2</v>
      </c>
      <c r="F253" s="5">
        <v>14</v>
      </c>
      <c r="G253" s="5">
        <v>79.2</v>
      </c>
      <c r="H253" s="5">
        <v>1.1399999999999999</v>
      </c>
      <c r="I253" s="5">
        <v>0</v>
      </c>
      <c r="J253" s="5">
        <v>4</v>
      </c>
      <c r="K253" s="5">
        <v>729440.45</v>
      </c>
      <c r="L253" s="5">
        <v>87614.29</v>
      </c>
      <c r="M253" s="12">
        <v>0</v>
      </c>
      <c r="N253" s="12">
        <v>1</v>
      </c>
      <c r="O253" s="12">
        <v>0</v>
      </c>
      <c r="P253" s="12">
        <v>0</v>
      </c>
      <c r="Q253" s="12">
        <v>1</v>
      </c>
      <c r="R253" s="12">
        <v>0</v>
      </c>
    </row>
    <row r="254" spans="1:18">
      <c r="A254" s="3" t="s">
        <v>85</v>
      </c>
      <c r="B254" s="4">
        <v>45658</v>
      </c>
      <c r="C254" s="5">
        <v>81801.8</v>
      </c>
      <c r="D254" s="5">
        <v>6782</v>
      </c>
      <c r="E254" s="5">
        <v>0.05</v>
      </c>
      <c r="F254" s="5">
        <v>16</v>
      </c>
      <c r="G254" s="5">
        <v>99</v>
      </c>
      <c r="H254" s="5">
        <v>9.5399999999999991</v>
      </c>
      <c r="I254" s="5">
        <v>0</v>
      </c>
      <c r="J254" s="5">
        <v>3.7</v>
      </c>
      <c r="K254" s="5">
        <v>764949</v>
      </c>
      <c r="L254" s="5">
        <v>148322.43</v>
      </c>
      <c r="M254" s="12">
        <v>0</v>
      </c>
      <c r="N254" s="12">
        <v>0</v>
      </c>
      <c r="O254" s="12">
        <v>1</v>
      </c>
      <c r="P254" s="12">
        <v>1</v>
      </c>
      <c r="Q254" s="12">
        <v>0</v>
      </c>
      <c r="R254" s="12">
        <v>0</v>
      </c>
    </row>
    <row r="255" spans="1:18">
      <c r="A255" s="3" t="s">
        <v>85</v>
      </c>
      <c r="B255" s="4">
        <v>45689</v>
      </c>
      <c r="C255" s="5">
        <v>63582.11</v>
      </c>
      <c r="D255" s="5">
        <v>6856</v>
      </c>
      <c r="E255" s="5">
        <v>7.3999999999999996E-2</v>
      </c>
      <c r="F255" s="5">
        <v>17</v>
      </c>
      <c r="G255" s="5">
        <v>89.5</v>
      </c>
      <c r="H255" s="5">
        <v>5.48</v>
      </c>
      <c r="I255" s="5">
        <v>0</v>
      </c>
      <c r="J255" s="5">
        <v>3.2</v>
      </c>
      <c r="K255" s="5">
        <v>799046.94</v>
      </c>
      <c r="L255" s="5">
        <v>144553.64000000001</v>
      </c>
      <c r="M255" s="12">
        <v>0</v>
      </c>
      <c r="N255" s="12">
        <v>0</v>
      </c>
      <c r="O255" s="12">
        <v>1</v>
      </c>
      <c r="P255" s="12">
        <v>1</v>
      </c>
      <c r="Q255" s="12">
        <v>0</v>
      </c>
      <c r="R255" s="12">
        <v>0</v>
      </c>
    </row>
    <row r="256" spans="1:18">
      <c r="A256" s="3" t="s">
        <v>85</v>
      </c>
      <c r="B256" s="4">
        <v>45717</v>
      </c>
      <c r="C256" s="5">
        <v>75412.740000000005</v>
      </c>
      <c r="D256" s="5">
        <v>5641</v>
      </c>
      <c r="E256" s="5">
        <v>5.8999999999999997E-2</v>
      </c>
      <c r="F256" s="5">
        <v>13</v>
      </c>
      <c r="G256" s="5">
        <v>87.9</v>
      </c>
      <c r="H256" s="5">
        <v>0.84</v>
      </c>
      <c r="I256" s="5">
        <v>0</v>
      </c>
      <c r="J256" s="5">
        <v>3.6</v>
      </c>
      <c r="K256" s="5">
        <v>720079.54</v>
      </c>
      <c r="L256" s="5">
        <v>119499.47</v>
      </c>
      <c r="M256" s="12">
        <v>0</v>
      </c>
      <c r="N256" s="12">
        <v>0</v>
      </c>
      <c r="O256" s="12">
        <v>1</v>
      </c>
      <c r="P256" s="12">
        <v>1</v>
      </c>
      <c r="Q256" s="12">
        <v>0</v>
      </c>
      <c r="R256" s="12">
        <v>0</v>
      </c>
    </row>
    <row r="257" spans="1:18">
      <c r="A257" s="3" t="s">
        <v>85</v>
      </c>
      <c r="B257" s="4">
        <v>45748</v>
      </c>
      <c r="C257" s="5">
        <v>36290.080000000002</v>
      </c>
      <c r="D257" s="5">
        <v>5787</v>
      </c>
      <c r="E257" s="5">
        <v>0</v>
      </c>
      <c r="F257" s="5">
        <v>17</v>
      </c>
      <c r="G257" s="5">
        <v>88.3</v>
      </c>
      <c r="H257" s="5">
        <v>4.1900000000000004</v>
      </c>
      <c r="I257" s="5">
        <v>0</v>
      </c>
      <c r="J257" s="5">
        <v>4.0999999999999996</v>
      </c>
      <c r="K257" s="5">
        <v>612390.14</v>
      </c>
      <c r="L257" s="5">
        <v>108985.74</v>
      </c>
      <c r="M257" s="12">
        <v>0</v>
      </c>
      <c r="N257" s="12">
        <v>0</v>
      </c>
      <c r="O257" s="12">
        <v>1</v>
      </c>
      <c r="P257" s="12">
        <v>1</v>
      </c>
      <c r="Q257" s="12">
        <v>0</v>
      </c>
      <c r="R257" s="12">
        <v>0</v>
      </c>
    </row>
    <row r="258" spans="1:18">
      <c r="A258" s="3" t="s">
        <v>86</v>
      </c>
      <c r="B258" s="4">
        <v>45658</v>
      </c>
      <c r="C258" s="5">
        <v>65272.58</v>
      </c>
      <c r="D258" s="5">
        <v>8165</v>
      </c>
      <c r="E258" s="5">
        <v>5.0999999999999997E-2</v>
      </c>
      <c r="F258" s="5">
        <v>19</v>
      </c>
      <c r="G258" s="5">
        <v>87.8</v>
      </c>
      <c r="H258" s="5">
        <v>1.26</v>
      </c>
      <c r="I258" s="5">
        <v>1</v>
      </c>
      <c r="J258" s="5">
        <v>4.3</v>
      </c>
      <c r="K258" s="5">
        <v>840108.12</v>
      </c>
      <c r="L258" s="5">
        <v>126587.01</v>
      </c>
      <c r="M258" s="12">
        <v>0</v>
      </c>
      <c r="N258" s="12">
        <v>0</v>
      </c>
      <c r="O258" s="12">
        <v>1</v>
      </c>
      <c r="P258" s="12">
        <v>0</v>
      </c>
      <c r="Q258" s="12">
        <v>0</v>
      </c>
      <c r="R258" s="12">
        <v>1</v>
      </c>
    </row>
    <row r="259" spans="1:18">
      <c r="A259" s="3" t="s">
        <v>86</v>
      </c>
      <c r="B259" s="4">
        <v>45689</v>
      </c>
      <c r="C259" s="5">
        <v>28670.43</v>
      </c>
      <c r="D259" s="5">
        <v>7574</v>
      </c>
      <c r="E259" s="5">
        <v>0.114</v>
      </c>
      <c r="F259" s="5">
        <v>19</v>
      </c>
      <c r="G259" s="5">
        <v>82.7</v>
      </c>
      <c r="H259" s="5">
        <v>2.74</v>
      </c>
      <c r="I259" s="5">
        <v>0</v>
      </c>
      <c r="J259" s="5">
        <v>4.5999999999999996</v>
      </c>
      <c r="K259" s="5">
        <v>697888.09</v>
      </c>
      <c r="L259" s="5">
        <v>116249.87</v>
      </c>
      <c r="M259" s="12">
        <v>0</v>
      </c>
      <c r="N259" s="12">
        <v>0</v>
      </c>
      <c r="O259" s="12">
        <v>1</v>
      </c>
      <c r="P259" s="12">
        <v>0</v>
      </c>
      <c r="Q259" s="12">
        <v>0</v>
      </c>
      <c r="R259" s="12">
        <v>1</v>
      </c>
    </row>
    <row r="260" spans="1:18">
      <c r="A260" s="3" t="s">
        <v>86</v>
      </c>
      <c r="B260" s="4">
        <v>45717</v>
      </c>
      <c r="C260" s="5">
        <v>44189.34</v>
      </c>
      <c r="D260" s="5">
        <v>8634</v>
      </c>
      <c r="E260" s="5">
        <v>0.14299999999999999</v>
      </c>
      <c r="F260" s="5">
        <v>19</v>
      </c>
      <c r="G260" s="5">
        <v>87.5</v>
      </c>
      <c r="H260" s="5">
        <v>3.69</v>
      </c>
      <c r="I260" s="5">
        <v>0</v>
      </c>
      <c r="J260" s="5">
        <v>4.4000000000000004</v>
      </c>
      <c r="K260" s="5">
        <v>746115.59</v>
      </c>
      <c r="L260" s="5">
        <v>94662.96</v>
      </c>
      <c r="M260" s="12">
        <v>0</v>
      </c>
      <c r="N260" s="12">
        <v>0</v>
      </c>
      <c r="O260" s="12">
        <v>1</v>
      </c>
      <c r="P260" s="12">
        <v>0</v>
      </c>
      <c r="Q260" s="12">
        <v>0</v>
      </c>
      <c r="R260" s="12">
        <v>1</v>
      </c>
    </row>
    <row r="261" spans="1:18">
      <c r="A261" s="3" t="s">
        <v>86</v>
      </c>
      <c r="B261" s="4">
        <v>45748</v>
      </c>
      <c r="C261" s="5">
        <v>38397.82</v>
      </c>
      <c r="D261" s="5">
        <v>7836</v>
      </c>
      <c r="E261" s="5">
        <v>7.0000000000000001E-3</v>
      </c>
      <c r="F261" s="5">
        <v>21</v>
      </c>
      <c r="G261" s="5">
        <v>92.2</v>
      </c>
      <c r="H261" s="5">
        <v>1.82</v>
      </c>
      <c r="I261" s="5">
        <v>0</v>
      </c>
      <c r="J261" s="5">
        <v>3.6</v>
      </c>
      <c r="K261" s="5">
        <v>776110.32</v>
      </c>
      <c r="L261" s="5">
        <v>139676.21</v>
      </c>
      <c r="M261" s="12">
        <v>0</v>
      </c>
      <c r="N261" s="12">
        <v>0</v>
      </c>
      <c r="O261" s="12">
        <v>1</v>
      </c>
      <c r="P261" s="12">
        <v>0</v>
      </c>
      <c r="Q261" s="12">
        <v>0</v>
      </c>
      <c r="R261" s="12">
        <v>1</v>
      </c>
    </row>
    <row r="262" spans="1:18">
      <c r="A262" s="3" t="s">
        <v>87</v>
      </c>
      <c r="B262" s="4">
        <v>45658</v>
      </c>
      <c r="C262" s="5">
        <v>14519.37</v>
      </c>
      <c r="D262" s="5">
        <v>3047</v>
      </c>
      <c r="E262" s="5">
        <v>0.13500000000000001</v>
      </c>
      <c r="F262" s="5">
        <v>10</v>
      </c>
      <c r="G262" s="5">
        <v>90.3</v>
      </c>
      <c r="H262" s="5">
        <v>6.62</v>
      </c>
      <c r="I262" s="5">
        <v>0</v>
      </c>
      <c r="J262" s="5">
        <v>4.2</v>
      </c>
      <c r="K262" s="5">
        <v>528852.62</v>
      </c>
      <c r="L262" s="5">
        <v>68426.210000000006</v>
      </c>
      <c r="M262" s="12">
        <v>1</v>
      </c>
      <c r="N262" s="12">
        <v>0</v>
      </c>
      <c r="O262" s="12">
        <v>0</v>
      </c>
      <c r="P262" s="12">
        <v>0</v>
      </c>
      <c r="Q262" s="12">
        <v>1</v>
      </c>
      <c r="R262" s="12">
        <v>0</v>
      </c>
    </row>
    <row r="263" spans="1:18">
      <c r="A263" s="3" t="s">
        <v>87</v>
      </c>
      <c r="B263" s="4">
        <v>45689</v>
      </c>
      <c r="C263" s="5">
        <v>43288.2</v>
      </c>
      <c r="D263" s="5">
        <v>4783</v>
      </c>
      <c r="E263" s="5">
        <v>0.16900000000000001</v>
      </c>
      <c r="F263" s="5">
        <v>13</v>
      </c>
      <c r="G263" s="5">
        <v>87.3</v>
      </c>
      <c r="H263" s="5">
        <v>3.37</v>
      </c>
      <c r="I263" s="5">
        <v>0</v>
      </c>
      <c r="J263" s="5">
        <v>4.2</v>
      </c>
      <c r="K263" s="5">
        <v>605751.32999999996</v>
      </c>
      <c r="L263" s="5">
        <v>60685.53</v>
      </c>
      <c r="M263" s="12">
        <v>1</v>
      </c>
      <c r="N263" s="12">
        <v>0</v>
      </c>
      <c r="O263" s="12">
        <v>0</v>
      </c>
      <c r="P263" s="12">
        <v>0</v>
      </c>
      <c r="Q263" s="12">
        <v>1</v>
      </c>
      <c r="R263" s="12">
        <v>0</v>
      </c>
    </row>
    <row r="264" spans="1:18">
      <c r="A264" s="3" t="s">
        <v>87</v>
      </c>
      <c r="B264" s="4">
        <v>45717</v>
      </c>
      <c r="C264" s="5">
        <v>51450.55</v>
      </c>
      <c r="D264" s="5">
        <v>4902</v>
      </c>
      <c r="E264" s="5">
        <v>8.5999999999999993E-2</v>
      </c>
      <c r="F264" s="5">
        <v>11</v>
      </c>
      <c r="G264" s="5">
        <v>83.7</v>
      </c>
      <c r="H264" s="5">
        <v>6.92</v>
      </c>
      <c r="I264" s="5">
        <v>1</v>
      </c>
      <c r="J264" s="5">
        <v>4.2</v>
      </c>
      <c r="K264" s="5">
        <v>677640.65</v>
      </c>
      <c r="L264" s="5">
        <v>111610.89</v>
      </c>
      <c r="M264" s="12">
        <v>1</v>
      </c>
      <c r="N264" s="12">
        <v>0</v>
      </c>
      <c r="O264" s="12">
        <v>0</v>
      </c>
      <c r="P264" s="12">
        <v>0</v>
      </c>
      <c r="Q264" s="12">
        <v>1</v>
      </c>
      <c r="R264" s="12">
        <v>0</v>
      </c>
    </row>
    <row r="265" spans="1:18">
      <c r="A265" s="3" t="s">
        <v>87</v>
      </c>
      <c r="B265" s="4">
        <v>45748</v>
      </c>
      <c r="C265" s="5">
        <v>58688.26</v>
      </c>
      <c r="D265" s="5">
        <v>4022</v>
      </c>
      <c r="E265" s="5">
        <v>0.217</v>
      </c>
      <c r="F265" s="5">
        <v>12</v>
      </c>
      <c r="G265" s="5">
        <v>93.8</v>
      </c>
      <c r="H265" s="5">
        <v>11.78</v>
      </c>
      <c r="I265" s="5">
        <v>0</v>
      </c>
      <c r="J265" s="5">
        <v>3.7</v>
      </c>
      <c r="K265" s="5">
        <v>636613.23</v>
      </c>
      <c r="L265" s="5">
        <v>78908.350000000006</v>
      </c>
      <c r="M265" s="12">
        <v>1</v>
      </c>
      <c r="N265" s="12">
        <v>0</v>
      </c>
      <c r="O265" s="12">
        <v>0</v>
      </c>
      <c r="P265" s="12">
        <v>0</v>
      </c>
      <c r="Q265" s="12">
        <v>1</v>
      </c>
      <c r="R265" s="12">
        <v>0</v>
      </c>
    </row>
    <row r="266" spans="1:18">
      <c r="A266" s="3" t="s">
        <v>88</v>
      </c>
      <c r="B266" s="4">
        <v>45658</v>
      </c>
      <c r="C266" s="5">
        <v>58981.91</v>
      </c>
      <c r="D266" s="5">
        <v>7324</v>
      </c>
      <c r="E266" s="5">
        <v>9.4E-2</v>
      </c>
      <c r="F266" s="5">
        <v>15</v>
      </c>
      <c r="G266" s="5">
        <v>95.8</v>
      </c>
      <c r="H266" s="5">
        <v>0.5</v>
      </c>
      <c r="I266" s="5">
        <v>0</v>
      </c>
      <c r="J266" s="5">
        <v>3.5</v>
      </c>
      <c r="K266" s="5">
        <v>708985.19</v>
      </c>
      <c r="L266" s="5">
        <v>125368.16</v>
      </c>
      <c r="M266" s="12">
        <v>0</v>
      </c>
      <c r="N266" s="12">
        <v>0</v>
      </c>
      <c r="O266" s="12">
        <v>0</v>
      </c>
      <c r="P266" s="12">
        <v>0</v>
      </c>
      <c r="Q266" s="12">
        <v>1</v>
      </c>
      <c r="R266" s="12">
        <v>0</v>
      </c>
    </row>
    <row r="267" spans="1:18">
      <c r="A267" s="3" t="s">
        <v>88</v>
      </c>
      <c r="B267" s="4">
        <v>45689</v>
      </c>
      <c r="C267" s="5">
        <v>73454.539999999994</v>
      </c>
      <c r="D267" s="5">
        <v>8129</v>
      </c>
      <c r="E267" s="5">
        <v>0.21099999999999999</v>
      </c>
      <c r="F267" s="5">
        <v>20</v>
      </c>
      <c r="G267" s="5">
        <v>85.2</v>
      </c>
      <c r="H267" s="5">
        <v>0.88</v>
      </c>
      <c r="I267" s="5">
        <v>0</v>
      </c>
      <c r="J267" s="5">
        <v>3.7</v>
      </c>
      <c r="K267" s="5">
        <v>767792.94</v>
      </c>
      <c r="L267" s="5">
        <v>96235.77</v>
      </c>
      <c r="M267" s="12">
        <v>0</v>
      </c>
      <c r="N267" s="12">
        <v>0</v>
      </c>
      <c r="O267" s="12">
        <v>0</v>
      </c>
      <c r="P267" s="12">
        <v>0</v>
      </c>
      <c r="Q267" s="12">
        <v>1</v>
      </c>
      <c r="R267" s="12">
        <v>0</v>
      </c>
    </row>
    <row r="268" spans="1:18">
      <c r="A268" s="3" t="s">
        <v>88</v>
      </c>
      <c r="B268" s="4">
        <v>45717</v>
      </c>
      <c r="C268" s="5">
        <v>56602.39</v>
      </c>
      <c r="D268" s="5">
        <v>7969</v>
      </c>
      <c r="E268" s="5">
        <v>0.17</v>
      </c>
      <c r="F268" s="5">
        <v>21</v>
      </c>
      <c r="G268" s="5">
        <v>88.3</v>
      </c>
      <c r="H268" s="5">
        <v>2.25</v>
      </c>
      <c r="I268" s="5">
        <v>0</v>
      </c>
      <c r="J268" s="5">
        <v>3.7</v>
      </c>
      <c r="K268" s="5">
        <v>745580.51</v>
      </c>
      <c r="L268" s="5">
        <v>116273.68</v>
      </c>
      <c r="M268" s="12">
        <v>0</v>
      </c>
      <c r="N268" s="12">
        <v>0</v>
      </c>
      <c r="O268" s="12">
        <v>0</v>
      </c>
      <c r="P268" s="12">
        <v>0</v>
      </c>
      <c r="Q268" s="12">
        <v>1</v>
      </c>
      <c r="R268" s="12">
        <v>0</v>
      </c>
    </row>
    <row r="269" spans="1:18">
      <c r="A269" s="3" t="s">
        <v>88</v>
      </c>
      <c r="B269" s="4">
        <v>45748</v>
      </c>
      <c r="C269" s="5">
        <v>67722.289999999994</v>
      </c>
      <c r="D269" s="5">
        <v>7240</v>
      </c>
      <c r="E269" s="5">
        <v>2.5999999999999999E-2</v>
      </c>
      <c r="F269" s="5">
        <v>15</v>
      </c>
      <c r="G269" s="5">
        <v>92.9</v>
      </c>
      <c r="H269" s="5">
        <v>0.28999999999999998</v>
      </c>
      <c r="I269" s="5">
        <v>0</v>
      </c>
      <c r="J269" s="5">
        <v>3.5</v>
      </c>
      <c r="K269" s="5">
        <v>762328.31</v>
      </c>
      <c r="L269" s="5">
        <v>159158.19</v>
      </c>
      <c r="M269" s="12">
        <v>0</v>
      </c>
      <c r="N269" s="12">
        <v>0</v>
      </c>
      <c r="O269" s="12">
        <v>0</v>
      </c>
      <c r="P269" s="12">
        <v>0</v>
      </c>
      <c r="Q269" s="12">
        <v>1</v>
      </c>
      <c r="R269" s="12">
        <v>0</v>
      </c>
    </row>
    <row r="270" spans="1:18">
      <c r="A270" s="3" t="s">
        <v>89</v>
      </c>
      <c r="B270" s="4">
        <v>45658</v>
      </c>
      <c r="C270" s="5">
        <v>48752.92</v>
      </c>
      <c r="D270" s="5">
        <v>8052</v>
      </c>
      <c r="E270" s="5">
        <v>0.106</v>
      </c>
      <c r="F270" s="5">
        <v>16</v>
      </c>
      <c r="G270" s="5">
        <v>94.9</v>
      </c>
      <c r="H270" s="5">
        <v>0.65</v>
      </c>
      <c r="I270" s="5">
        <v>0</v>
      </c>
      <c r="J270" s="5">
        <v>3.6</v>
      </c>
      <c r="K270" s="5">
        <v>660633.99</v>
      </c>
      <c r="L270" s="5">
        <v>118768.66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1</v>
      </c>
    </row>
    <row r="271" spans="1:18">
      <c r="A271" s="3" t="s">
        <v>89</v>
      </c>
      <c r="B271" s="4">
        <v>45689</v>
      </c>
      <c r="C271" s="5">
        <v>23914.97</v>
      </c>
      <c r="D271" s="5">
        <v>8018</v>
      </c>
      <c r="E271" s="5">
        <v>0.13900000000000001</v>
      </c>
      <c r="F271" s="5">
        <v>20</v>
      </c>
      <c r="G271" s="5">
        <v>89</v>
      </c>
      <c r="H271" s="5">
        <v>0.2</v>
      </c>
      <c r="I271" s="5">
        <v>0</v>
      </c>
      <c r="J271" s="5">
        <v>3.5</v>
      </c>
      <c r="K271" s="5">
        <v>739374.56</v>
      </c>
      <c r="L271" s="5">
        <v>121032.29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1</v>
      </c>
    </row>
    <row r="272" spans="1:18">
      <c r="A272" s="3" t="s">
        <v>89</v>
      </c>
      <c r="B272" s="4">
        <v>45717</v>
      </c>
      <c r="C272" s="5">
        <v>61995.3</v>
      </c>
      <c r="D272" s="5">
        <v>10192</v>
      </c>
      <c r="E272" s="5">
        <v>0.19800000000000001</v>
      </c>
      <c r="F272" s="5">
        <v>21</v>
      </c>
      <c r="G272" s="5">
        <v>87.6</v>
      </c>
      <c r="H272" s="5">
        <v>3.63</v>
      </c>
      <c r="I272" s="5">
        <v>1</v>
      </c>
      <c r="J272" s="5">
        <v>3.8</v>
      </c>
      <c r="K272" s="5">
        <v>799756.46</v>
      </c>
      <c r="L272" s="5">
        <v>105052.93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1</v>
      </c>
    </row>
    <row r="273" spans="1:18">
      <c r="A273" s="3" t="s">
        <v>89</v>
      </c>
      <c r="B273" s="4">
        <v>45748</v>
      </c>
      <c r="C273" s="5">
        <v>29344.93</v>
      </c>
      <c r="D273" s="5">
        <v>7446</v>
      </c>
      <c r="E273" s="5">
        <v>0.111</v>
      </c>
      <c r="F273" s="5">
        <v>15</v>
      </c>
      <c r="G273" s="5">
        <v>86.2</v>
      </c>
      <c r="H273" s="5">
        <v>0.2</v>
      </c>
      <c r="I273" s="5">
        <v>0</v>
      </c>
      <c r="J273" s="5">
        <v>3.2</v>
      </c>
      <c r="K273" s="5">
        <v>593343</v>
      </c>
      <c r="L273" s="5">
        <v>82832.240000000005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1</v>
      </c>
    </row>
    <row r="274" spans="1:18">
      <c r="A274" s="3" t="s">
        <v>90</v>
      </c>
      <c r="B274" s="4">
        <v>45658</v>
      </c>
      <c r="C274" s="5">
        <v>50532.17</v>
      </c>
      <c r="D274" s="5">
        <v>5689</v>
      </c>
      <c r="E274" s="5">
        <v>5.1999999999999998E-2</v>
      </c>
      <c r="F274" s="5">
        <v>17</v>
      </c>
      <c r="G274" s="5">
        <v>85.6</v>
      </c>
      <c r="H274" s="5">
        <v>6.23</v>
      </c>
      <c r="I274" s="5">
        <v>0</v>
      </c>
      <c r="J274" s="5">
        <v>3.3</v>
      </c>
      <c r="K274" s="5">
        <v>645039.97</v>
      </c>
      <c r="L274" s="5">
        <v>83093.33</v>
      </c>
      <c r="M274" s="12">
        <v>1</v>
      </c>
      <c r="N274" s="12">
        <v>0</v>
      </c>
      <c r="O274" s="12">
        <v>0</v>
      </c>
      <c r="P274" s="12">
        <v>0</v>
      </c>
      <c r="Q274" s="12">
        <v>1</v>
      </c>
      <c r="R274" s="12">
        <v>0</v>
      </c>
    </row>
    <row r="275" spans="1:18">
      <c r="A275" s="3" t="s">
        <v>90</v>
      </c>
      <c r="B275" s="4">
        <v>45689</v>
      </c>
      <c r="C275" s="5">
        <v>17562.57</v>
      </c>
      <c r="D275" s="5">
        <v>3326</v>
      </c>
      <c r="E275" s="5">
        <v>0.153</v>
      </c>
      <c r="F275" s="5">
        <v>14</v>
      </c>
      <c r="G275" s="5">
        <v>88.1</v>
      </c>
      <c r="H275" s="5">
        <v>1.04</v>
      </c>
      <c r="I275" s="5">
        <v>0</v>
      </c>
      <c r="J275" s="5">
        <v>3.1</v>
      </c>
      <c r="K275" s="5">
        <v>561597.32999999996</v>
      </c>
      <c r="L275" s="5">
        <v>75072.75</v>
      </c>
      <c r="M275" s="12">
        <v>1</v>
      </c>
      <c r="N275" s="12">
        <v>0</v>
      </c>
      <c r="O275" s="12">
        <v>0</v>
      </c>
      <c r="P275" s="12">
        <v>0</v>
      </c>
      <c r="Q275" s="12">
        <v>1</v>
      </c>
      <c r="R275" s="12">
        <v>0</v>
      </c>
    </row>
    <row r="276" spans="1:18">
      <c r="A276" s="3" t="s">
        <v>90</v>
      </c>
      <c r="B276" s="4">
        <v>45717</v>
      </c>
      <c r="C276" s="5">
        <v>47648.71</v>
      </c>
      <c r="D276" s="5">
        <v>5767</v>
      </c>
      <c r="E276" s="5">
        <v>0.14099999999999999</v>
      </c>
      <c r="F276" s="5">
        <v>17</v>
      </c>
      <c r="G276" s="5">
        <v>89.8</v>
      </c>
      <c r="H276" s="5">
        <v>1.76</v>
      </c>
      <c r="I276" s="5">
        <v>0</v>
      </c>
      <c r="J276" s="5">
        <v>3.1</v>
      </c>
      <c r="K276" s="5">
        <v>635837.74</v>
      </c>
      <c r="L276" s="5">
        <v>114740.64</v>
      </c>
      <c r="M276" s="12">
        <v>1</v>
      </c>
      <c r="N276" s="12">
        <v>0</v>
      </c>
      <c r="O276" s="12">
        <v>0</v>
      </c>
      <c r="P276" s="12">
        <v>0</v>
      </c>
      <c r="Q276" s="12">
        <v>1</v>
      </c>
      <c r="R276" s="12">
        <v>0</v>
      </c>
    </row>
    <row r="277" spans="1:18">
      <c r="A277" s="3" t="s">
        <v>90</v>
      </c>
      <c r="B277" s="4">
        <v>45748</v>
      </c>
      <c r="C277" s="5">
        <v>38297.58</v>
      </c>
      <c r="D277" s="5">
        <v>5893</v>
      </c>
      <c r="E277" s="5">
        <v>0.247</v>
      </c>
      <c r="F277" s="5">
        <v>18</v>
      </c>
      <c r="G277" s="5">
        <v>77.599999999999994</v>
      </c>
      <c r="H277" s="5">
        <v>2.86</v>
      </c>
      <c r="I277" s="5">
        <v>0</v>
      </c>
      <c r="J277" s="5">
        <v>3</v>
      </c>
      <c r="K277" s="5">
        <v>686737.87</v>
      </c>
      <c r="L277" s="5">
        <v>83839.67</v>
      </c>
      <c r="M277" s="12">
        <v>1</v>
      </c>
      <c r="N277" s="12">
        <v>0</v>
      </c>
      <c r="O277" s="12">
        <v>0</v>
      </c>
      <c r="P277" s="12">
        <v>0</v>
      </c>
      <c r="Q277" s="12">
        <v>1</v>
      </c>
      <c r="R277" s="12">
        <v>0</v>
      </c>
    </row>
    <row r="278" spans="1:18">
      <c r="A278" s="3" t="s">
        <v>91</v>
      </c>
      <c r="B278" s="4">
        <v>45658</v>
      </c>
      <c r="C278" s="5">
        <v>61784.11</v>
      </c>
      <c r="D278" s="5">
        <v>8564</v>
      </c>
      <c r="E278" s="5">
        <v>0.13</v>
      </c>
      <c r="F278" s="5">
        <v>17</v>
      </c>
      <c r="G278" s="5">
        <v>87.4</v>
      </c>
      <c r="H278" s="5">
        <v>18.14</v>
      </c>
      <c r="I278" s="5">
        <v>1</v>
      </c>
      <c r="J278" s="5">
        <v>3.4</v>
      </c>
      <c r="K278" s="5">
        <v>673076.34</v>
      </c>
      <c r="L278" s="5">
        <v>93899.76</v>
      </c>
      <c r="M278" s="12">
        <v>0</v>
      </c>
      <c r="N278" s="12">
        <v>0</v>
      </c>
      <c r="O278" s="12">
        <v>1</v>
      </c>
      <c r="P278" s="12">
        <v>0</v>
      </c>
      <c r="Q278" s="12">
        <v>0</v>
      </c>
      <c r="R278" s="12">
        <v>0</v>
      </c>
    </row>
    <row r="279" spans="1:18">
      <c r="A279" s="3" t="s">
        <v>91</v>
      </c>
      <c r="B279" s="4">
        <v>45689</v>
      </c>
      <c r="C279" s="5">
        <v>36832.33</v>
      </c>
      <c r="D279" s="5">
        <v>8001</v>
      </c>
      <c r="E279" s="5">
        <v>0</v>
      </c>
      <c r="F279" s="5">
        <v>19</v>
      </c>
      <c r="G279" s="5">
        <v>88.7</v>
      </c>
      <c r="H279" s="5">
        <v>3.39</v>
      </c>
      <c r="I279" s="5">
        <v>0</v>
      </c>
      <c r="J279" s="5">
        <v>4</v>
      </c>
      <c r="K279" s="5">
        <v>738548.42</v>
      </c>
      <c r="L279" s="5">
        <v>134282.76999999999</v>
      </c>
      <c r="M279" s="12">
        <v>0</v>
      </c>
      <c r="N279" s="12">
        <v>0</v>
      </c>
      <c r="O279" s="12">
        <v>1</v>
      </c>
      <c r="P279" s="12">
        <v>0</v>
      </c>
      <c r="Q279" s="12">
        <v>0</v>
      </c>
      <c r="R279" s="12">
        <v>0</v>
      </c>
    </row>
    <row r="280" spans="1:18">
      <c r="A280" s="3" t="s">
        <v>91</v>
      </c>
      <c r="B280" s="4">
        <v>45717</v>
      </c>
      <c r="C280" s="5">
        <v>48609.41</v>
      </c>
      <c r="D280" s="5">
        <v>9324</v>
      </c>
      <c r="E280" s="5">
        <v>0.21299999999999999</v>
      </c>
      <c r="F280" s="5">
        <v>18</v>
      </c>
      <c r="G280" s="5">
        <v>86.5</v>
      </c>
      <c r="H280" s="5">
        <v>1.44</v>
      </c>
      <c r="I280" s="5">
        <v>0</v>
      </c>
      <c r="J280" s="5">
        <v>3.9</v>
      </c>
      <c r="K280" s="5">
        <v>756619.77</v>
      </c>
      <c r="L280" s="5">
        <v>112057.69</v>
      </c>
      <c r="M280" s="12">
        <v>0</v>
      </c>
      <c r="N280" s="12">
        <v>0</v>
      </c>
      <c r="O280" s="12">
        <v>1</v>
      </c>
      <c r="P280" s="12">
        <v>0</v>
      </c>
      <c r="Q280" s="12">
        <v>0</v>
      </c>
      <c r="R280" s="12">
        <v>0</v>
      </c>
    </row>
    <row r="281" spans="1:18">
      <c r="A281" s="3" t="s">
        <v>91</v>
      </c>
      <c r="B281" s="4">
        <v>45748</v>
      </c>
      <c r="C281" s="5">
        <v>70284.06</v>
      </c>
      <c r="D281" s="5">
        <v>9109</v>
      </c>
      <c r="E281" s="5">
        <v>4.0000000000000001E-3</v>
      </c>
      <c r="F281" s="5">
        <v>23</v>
      </c>
      <c r="G281" s="5">
        <v>87</v>
      </c>
      <c r="H281" s="5">
        <v>3.65</v>
      </c>
      <c r="I281" s="5">
        <v>0</v>
      </c>
      <c r="J281" s="5">
        <v>3.7</v>
      </c>
      <c r="K281" s="5">
        <v>761122.42</v>
      </c>
      <c r="L281" s="5">
        <v>149802.04</v>
      </c>
      <c r="M281" s="12">
        <v>0</v>
      </c>
      <c r="N281" s="12">
        <v>0</v>
      </c>
      <c r="O281" s="12">
        <v>1</v>
      </c>
      <c r="P281" s="12">
        <v>0</v>
      </c>
      <c r="Q281" s="12">
        <v>0</v>
      </c>
      <c r="R281" s="12">
        <v>0</v>
      </c>
    </row>
    <row r="282" spans="1:18">
      <c r="A282" s="3" t="s">
        <v>92</v>
      </c>
      <c r="B282" s="4">
        <v>45658</v>
      </c>
      <c r="C282" s="5">
        <v>45940.39</v>
      </c>
      <c r="D282" s="5">
        <v>4022</v>
      </c>
      <c r="E282" s="5">
        <v>6.9000000000000006E-2</v>
      </c>
      <c r="F282" s="5">
        <v>10</v>
      </c>
      <c r="G282" s="5">
        <v>83</v>
      </c>
      <c r="H282" s="5">
        <v>1.23</v>
      </c>
      <c r="I282" s="5">
        <v>1</v>
      </c>
      <c r="J282" s="5">
        <v>3.8</v>
      </c>
      <c r="K282" s="5">
        <v>524899.56999999995</v>
      </c>
      <c r="L282" s="5">
        <v>63619.98</v>
      </c>
      <c r="M282" s="12">
        <v>0</v>
      </c>
      <c r="N282" s="12">
        <v>0</v>
      </c>
      <c r="O282" s="12">
        <v>1</v>
      </c>
      <c r="P282" s="12">
        <v>0</v>
      </c>
      <c r="Q282" s="12">
        <v>1</v>
      </c>
      <c r="R282" s="12">
        <v>0</v>
      </c>
    </row>
    <row r="283" spans="1:18">
      <c r="A283" s="3" t="s">
        <v>92</v>
      </c>
      <c r="B283" s="4">
        <v>45689</v>
      </c>
      <c r="C283" s="5">
        <v>34771.26</v>
      </c>
      <c r="D283" s="5">
        <v>4355</v>
      </c>
      <c r="E283" s="5">
        <v>5.0999999999999997E-2</v>
      </c>
      <c r="F283" s="5">
        <v>15</v>
      </c>
      <c r="G283" s="5">
        <v>87.9</v>
      </c>
      <c r="H283" s="5">
        <v>3.09</v>
      </c>
      <c r="I283" s="5">
        <v>0</v>
      </c>
      <c r="J283" s="5">
        <v>4</v>
      </c>
      <c r="K283" s="5">
        <v>555557.77</v>
      </c>
      <c r="L283" s="5">
        <v>86475.51</v>
      </c>
      <c r="M283" s="12">
        <v>0</v>
      </c>
      <c r="N283" s="12">
        <v>0</v>
      </c>
      <c r="O283" s="12">
        <v>1</v>
      </c>
      <c r="P283" s="12">
        <v>0</v>
      </c>
      <c r="Q283" s="12">
        <v>1</v>
      </c>
      <c r="R283" s="12">
        <v>0</v>
      </c>
    </row>
    <row r="284" spans="1:18">
      <c r="A284" s="3" t="s">
        <v>92</v>
      </c>
      <c r="B284" s="4">
        <v>45717</v>
      </c>
      <c r="C284" s="5">
        <v>66104.19</v>
      </c>
      <c r="D284" s="5">
        <v>5745</v>
      </c>
      <c r="E284" s="5">
        <v>7.0000000000000007E-2</v>
      </c>
      <c r="F284" s="5">
        <v>17</v>
      </c>
      <c r="G284" s="5">
        <v>95.8</v>
      </c>
      <c r="H284" s="5">
        <v>3.15</v>
      </c>
      <c r="I284" s="5">
        <v>0</v>
      </c>
      <c r="J284" s="5">
        <v>4</v>
      </c>
      <c r="K284" s="5">
        <v>714083.68</v>
      </c>
      <c r="L284" s="5">
        <v>127231.74</v>
      </c>
      <c r="M284" s="12">
        <v>0</v>
      </c>
      <c r="N284" s="12">
        <v>0</v>
      </c>
      <c r="O284" s="12">
        <v>1</v>
      </c>
      <c r="P284" s="12">
        <v>0</v>
      </c>
      <c r="Q284" s="12">
        <v>1</v>
      </c>
      <c r="R284" s="12">
        <v>0</v>
      </c>
    </row>
    <row r="285" spans="1:18">
      <c r="A285" s="3" t="s">
        <v>92</v>
      </c>
      <c r="B285" s="4">
        <v>45748</v>
      </c>
      <c r="C285" s="5">
        <v>18599.21</v>
      </c>
      <c r="D285" s="5">
        <v>3027</v>
      </c>
      <c r="E285" s="5">
        <v>0.122</v>
      </c>
      <c r="F285" s="5">
        <v>11</v>
      </c>
      <c r="G285" s="5">
        <v>80.900000000000006</v>
      </c>
      <c r="H285" s="5">
        <v>6.44</v>
      </c>
      <c r="I285" s="5">
        <v>0</v>
      </c>
      <c r="J285" s="5">
        <v>4.2</v>
      </c>
      <c r="K285" s="5">
        <v>497439.82</v>
      </c>
      <c r="L285" s="5">
        <v>93372.75</v>
      </c>
      <c r="M285" s="12">
        <v>0</v>
      </c>
      <c r="N285" s="12">
        <v>0</v>
      </c>
      <c r="O285" s="12">
        <v>1</v>
      </c>
      <c r="P285" s="12">
        <v>0</v>
      </c>
      <c r="Q285" s="12">
        <v>1</v>
      </c>
      <c r="R285" s="12">
        <v>0</v>
      </c>
    </row>
    <row r="286" spans="1:18">
      <c r="A286" s="3" t="s">
        <v>93</v>
      </c>
      <c r="B286" s="4">
        <v>45658</v>
      </c>
      <c r="C286" s="5">
        <v>60183.06</v>
      </c>
      <c r="D286" s="5">
        <v>5562</v>
      </c>
      <c r="E286" s="5">
        <v>8.9999999999999993E-3</v>
      </c>
      <c r="F286" s="5">
        <v>13</v>
      </c>
      <c r="G286" s="5">
        <v>86.3</v>
      </c>
      <c r="H286" s="5">
        <v>0.2</v>
      </c>
      <c r="I286" s="5">
        <v>1</v>
      </c>
      <c r="J286" s="5">
        <v>4.5</v>
      </c>
      <c r="K286" s="5">
        <v>636775.66</v>
      </c>
      <c r="L286" s="5">
        <v>122636.86</v>
      </c>
      <c r="M286" s="12">
        <v>1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</row>
    <row r="287" spans="1:18">
      <c r="A287" s="3" t="s">
        <v>93</v>
      </c>
      <c r="B287" s="4">
        <v>45689</v>
      </c>
      <c r="C287" s="5">
        <v>74539.14</v>
      </c>
      <c r="D287" s="5">
        <v>4487</v>
      </c>
      <c r="E287" s="5">
        <v>0.14000000000000001</v>
      </c>
      <c r="F287" s="5">
        <v>10</v>
      </c>
      <c r="G287" s="5">
        <v>90.4</v>
      </c>
      <c r="H287" s="5">
        <v>0.59</v>
      </c>
      <c r="I287" s="5">
        <v>0</v>
      </c>
      <c r="J287" s="5">
        <v>4.5</v>
      </c>
      <c r="K287" s="5">
        <v>633009.53</v>
      </c>
      <c r="L287" s="5">
        <v>123782.67</v>
      </c>
      <c r="M287" s="12">
        <v>1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</row>
    <row r="288" spans="1:18">
      <c r="A288" s="3" t="s">
        <v>93</v>
      </c>
      <c r="B288" s="4">
        <v>45717</v>
      </c>
      <c r="C288" s="5">
        <v>55371.97</v>
      </c>
      <c r="D288" s="5">
        <v>4162</v>
      </c>
      <c r="E288" s="5">
        <v>0.183</v>
      </c>
      <c r="F288" s="5">
        <v>11</v>
      </c>
      <c r="G288" s="5">
        <v>92</v>
      </c>
      <c r="H288" s="5">
        <v>0.2</v>
      </c>
      <c r="I288" s="5">
        <v>1</v>
      </c>
      <c r="J288" s="5">
        <v>4.2</v>
      </c>
      <c r="K288" s="5">
        <v>609949</v>
      </c>
      <c r="L288" s="5">
        <v>126789.25</v>
      </c>
      <c r="M288" s="12">
        <v>1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</row>
    <row r="289" spans="1:18">
      <c r="A289" s="3" t="s">
        <v>93</v>
      </c>
      <c r="B289" s="4">
        <v>45748</v>
      </c>
      <c r="C289" s="5">
        <v>40928.69</v>
      </c>
      <c r="D289" s="5">
        <v>4094</v>
      </c>
      <c r="E289" s="5">
        <v>0.17399999999999999</v>
      </c>
      <c r="F289" s="5">
        <v>13</v>
      </c>
      <c r="G289" s="5">
        <v>82.4</v>
      </c>
      <c r="H289" s="5">
        <v>1.36</v>
      </c>
      <c r="I289" s="5">
        <v>0</v>
      </c>
      <c r="J289" s="5">
        <v>4.8</v>
      </c>
      <c r="K289" s="5">
        <v>548103.69999999995</v>
      </c>
      <c r="L289" s="5">
        <v>99905.52</v>
      </c>
      <c r="M289" s="12">
        <v>1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</row>
    <row r="290" spans="1:18">
      <c r="A290" s="3" t="s">
        <v>94</v>
      </c>
      <c r="B290" s="4">
        <v>45658</v>
      </c>
      <c r="C290" s="5">
        <v>70012.41</v>
      </c>
      <c r="D290" s="5">
        <v>8484</v>
      </c>
      <c r="E290" s="5">
        <v>0.27300000000000002</v>
      </c>
      <c r="F290" s="5">
        <v>23</v>
      </c>
      <c r="G290" s="5">
        <v>72.900000000000006</v>
      </c>
      <c r="H290" s="5">
        <v>3.34</v>
      </c>
      <c r="I290" s="5">
        <v>0</v>
      </c>
      <c r="J290" s="5">
        <v>3.7</v>
      </c>
      <c r="K290" s="5">
        <v>729424.42</v>
      </c>
      <c r="L290" s="5">
        <v>75592.28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</row>
    <row r="291" spans="1:18">
      <c r="A291" s="3" t="s">
        <v>94</v>
      </c>
      <c r="B291" s="4">
        <v>45689</v>
      </c>
      <c r="C291" s="5">
        <v>68909.259999999995</v>
      </c>
      <c r="D291" s="5">
        <v>7794</v>
      </c>
      <c r="E291" s="5">
        <v>0.28399999999999997</v>
      </c>
      <c r="F291" s="5">
        <v>22</v>
      </c>
      <c r="G291" s="5">
        <v>89</v>
      </c>
      <c r="H291" s="5">
        <v>0.33</v>
      </c>
      <c r="I291" s="5">
        <v>0</v>
      </c>
      <c r="J291" s="5">
        <v>4</v>
      </c>
      <c r="K291" s="5">
        <v>696261.49</v>
      </c>
      <c r="L291" s="5">
        <v>72455.350000000006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</row>
    <row r="292" spans="1:18">
      <c r="A292" s="3" t="s">
        <v>94</v>
      </c>
      <c r="B292" s="4">
        <v>45717</v>
      </c>
      <c r="C292" s="5">
        <v>56737.3</v>
      </c>
      <c r="D292" s="5">
        <v>8300</v>
      </c>
      <c r="E292" s="5">
        <v>3.2000000000000001E-2</v>
      </c>
      <c r="F292" s="5">
        <v>21</v>
      </c>
      <c r="G292" s="5">
        <v>83.2</v>
      </c>
      <c r="H292" s="5">
        <v>3.44</v>
      </c>
      <c r="I292" s="5">
        <v>1</v>
      </c>
      <c r="J292" s="5">
        <v>4.3</v>
      </c>
      <c r="K292" s="5">
        <v>813316.71</v>
      </c>
      <c r="L292" s="5">
        <v>110077.42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</row>
    <row r="293" spans="1:18">
      <c r="A293" s="3" t="s">
        <v>94</v>
      </c>
      <c r="B293" s="4">
        <v>45748</v>
      </c>
      <c r="C293" s="5">
        <v>54080.91</v>
      </c>
      <c r="D293" s="5">
        <v>7083</v>
      </c>
      <c r="E293" s="5">
        <v>0</v>
      </c>
      <c r="F293" s="5">
        <v>15</v>
      </c>
      <c r="G293" s="5">
        <v>97</v>
      </c>
      <c r="H293" s="5">
        <v>5.33</v>
      </c>
      <c r="I293" s="5">
        <v>0</v>
      </c>
      <c r="J293" s="5">
        <v>4.0999999999999996</v>
      </c>
      <c r="K293" s="5">
        <v>702068.92</v>
      </c>
      <c r="L293" s="5">
        <v>111266.63</v>
      </c>
      <c r="M293" s="12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</row>
    <row r="294" spans="1:18">
      <c r="A294" s="3" t="s">
        <v>95</v>
      </c>
      <c r="B294" s="4">
        <v>45658</v>
      </c>
      <c r="C294" s="5">
        <v>51996.32</v>
      </c>
      <c r="D294" s="5">
        <v>3834</v>
      </c>
      <c r="E294" s="5">
        <v>9.6000000000000002E-2</v>
      </c>
      <c r="F294" s="5">
        <v>8</v>
      </c>
      <c r="G294" s="5">
        <v>86.7</v>
      </c>
      <c r="H294" s="5">
        <v>6.04</v>
      </c>
      <c r="I294" s="5">
        <v>0</v>
      </c>
      <c r="J294" s="5">
        <v>4.5</v>
      </c>
      <c r="K294" s="5">
        <v>546223.69999999995</v>
      </c>
      <c r="L294" s="5">
        <v>100769.17</v>
      </c>
      <c r="M294" s="12">
        <v>1</v>
      </c>
      <c r="N294" s="12">
        <v>0</v>
      </c>
      <c r="O294" s="12">
        <v>0</v>
      </c>
      <c r="P294" s="12">
        <v>0</v>
      </c>
      <c r="Q294" s="12">
        <v>1</v>
      </c>
      <c r="R294" s="12">
        <v>0</v>
      </c>
    </row>
    <row r="295" spans="1:18">
      <c r="A295" s="3" t="s">
        <v>95</v>
      </c>
      <c r="B295" s="4">
        <v>45689</v>
      </c>
      <c r="C295" s="5">
        <v>40102.879999999997</v>
      </c>
      <c r="D295" s="5">
        <v>2358</v>
      </c>
      <c r="E295" s="5">
        <v>0.11899999999999999</v>
      </c>
      <c r="F295" s="5">
        <v>9</v>
      </c>
      <c r="G295" s="5">
        <v>88.7</v>
      </c>
      <c r="H295" s="5">
        <v>1.6</v>
      </c>
      <c r="I295" s="5">
        <v>0</v>
      </c>
      <c r="J295" s="5">
        <v>4.2</v>
      </c>
      <c r="K295" s="5">
        <v>533121.26</v>
      </c>
      <c r="L295" s="5">
        <v>55063.39</v>
      </c>
      <c r="M295" s="12">
        <v>1</v>
      </c>
      <c r="N295" s="12">
        <v>0</v>
      </c>
      <c r="O295" s="12">
        <v>0</v>
      </c>
      <c r="P295" s="12">
        <v>0</v>
      </c>
      <c r="Q295" s="12">
        <v>1</v>
      </c>
      <c r="R295" s="12">
        <v>0</v>
      </c>
    </row>
    <row r="296" spans="1:18">
      <c r="A296" s="3" t="s">
        <v>95</v>
      </c>
      <c r="B296" s="4">
        <v>45717</v>
      </c>
      <c r="C296" s="5">
        <v>59825.51</v>
      </c>
      <c r="D296" s="5">
        <v>1231</v>
      </c>
      <c r="E296" s="5">
        <v>0.214</v>
      </c>
      <c r="F296" s="5">
        <v>10</v>
      </c>
      <c r="G296" s="5">
        <v>84.8</v>
      </c>
      <c r="H296" s="5">
        <v>8.9600000000000009</v>
      </c>
      <c r="I296" s="5">
        <v>0</v>
      </c>
      <c r="J296" s="5">
        <v>4.7</v>
      </c>
      <c r="K296" s="5">
        <v>498970.32</v>
      </c>
      <c r="L296" s="5">
        <v>69656.7</v>
      </c>
      <c r="M296" s="12">
        <v>1</v>
      </c>
      <c r="N296" s="12">
        <v>0</v>
      </c>
      <c r="O296" s="12">
        <v>0</v>
      </c>
      <c r="P296" s="12">
        <v>0</v>
      </c>
      <c r="Q296" s="12">
        <v>1</v>
      </c>
      <c r="R296" s="12">
        <v>0</v>
      </c>
    </row>
    <row r="297" spans="1:18">
      <c r="A297" s="3" t="s">
        <v>95</v>
      </c>
      <c r="B297" s="4">
        <v>45748</v>
      </c>
      <c r="C297" s="5">
        <v>27398.28</v>
      </c>
      <c r="D297" s="5">
        <v>1723</v>
      </c>
      <c r="E297" s="5">
        <v>0.17100000000000001</v>
      </c>
      <c r="F297" s="5">
        <v>9</v>
      </c>
      <c r="G297" s="5">
        <v>81</v>
      </c>
      <c r="H297" s="5">
        <v>0.74</v>
      </c>
      <c r="I297" s="5">
        <v>0</v>
      </c>
      <c r="J297" s="5">
        <v>4.5999999999999996</v>
      </c>
      <c r="K297" s="5">
        <v>487738.26</v>
      </c>
      <c r="L297" s="5">
        <v>96435.6</v>
      </c>
      <c r="M297" s="12">
        <v>1</v>
      </c>
      <c r="N297" s="12">
        <v>0</v>
      </c>
      <c r="O297" s="12">
        <v>0</v>
      </c>
      <c r="P297" s="12">
        <v>0</v>
      </c>
      <c r="Q297" s="12">
        <v>1</v>
      </c>
      <c r="R297" s="12">
        <v>0</v>
      </c>
    </row>
    <row r="298" spans="1:18">
      <c r="A298" s="3" t="s">
        <v>96</v>
      </c>
      <c r="B298" s="4">
        <v>45658</v>
      </c>
      <c r="C298" s="5">
        <v>55599.56</v>
      </c>
      <c r="D298" s="5">
        <v>5896</v>
      </c>
      <c r="E298" s="5">
        <v>3.5999999999999997E-2</v>
      </c>
      <c r="F298" s="5">
        <v>12</v>
      </c>
      <c r="G298" s="5">
        <v>93.1</v>
      </c>
      <c r="H298" s="5">
        <v>6.13</v>
      </c>
      <c r="I298" s="5">
        <v>0</v>
      </c>
      <c r="J298" s="5">
        <v>3.3</v>
      </c>
      <c r="K298" s="5">
        <v>668459.37</v>
      </c>
      <c r="L298" s="5">
        <v>126435.42</v>
      </c>
      <c r="M298" s="12">
        <v>1</v>
      </c>
      <c r="N298" s="12">
        <v>0</v>
      </c>
      <c r="O298" s="12">
        <v>0</v>
      </c>
      <c r="P298" s="12">
        <v>0</v>
      </c>
      <c r="Q298" s="12">
        <v>1</v>
      </c>
      <c r="R298" s="12">
        <v>0</v>
      </c>
    </row>
    <row r="299" spans="1:18">
      <c r="A299" s="3" t="s">
        <v>96</v>
      </c>
      <c r="B299" s="4">
        <v>45689</v>
      </c>
      <c r="C299" s="5">
        <v>55477.61</v>
      </c>
      <c r="D299" s="5">
        <v>5903</v>
      </c>
      <c r="E299" s="5">
        <v>0.10199999999999999</v>
      </c>
      <c r="F299" s="5">
        <v>14</v>
      </c>
      <c r="G299" s="5">
        <v>96.2</v>
      </c>
      <c r="H299" s="5">
        <v>1.41</v>
      </c>
      <c r="I299" s="5">
        <v>0</v>
      </c>
      <c r="J299" s="5">
        <v>3.3</v>
      </c>
      <c r="K299" s="5">
        <v>763162.45</v>
      </c>
      <c r="L299" s="5">
        <v>162524.04999999999</v>
      </c>
      <c r="M299" s="12">
        <v>1</v>
      </c>
      <c r="N299" s="12">
        <v>0</v>
      </c>
      <c r="O299" s="12">
        <v>0</v>
      </c>
      <c r="P299" s="12">
        <v>0</v>
      </c>
      <c r="Q299" s="12">
        <v>1</v>
      </c>
      <c r="R299" s="12">
        <v>0</v>
      </c>
    </row>
    <row r="300" spans="1:18">
      <c r="A300" s="3" t="s">
        <v>96</v>
      </c>
      <c r="B300" s="4">
        <v>45717</v>
      </c>
      <c r="C300" s="5">
        <v>46174.7</v>
      </c>
      <c r="D300" s="5">
        <v>4898</v>
      </c>
      <c r="E300" s="5">
        <v>0.114</v>
      </c>
      <c r="F300" s="5">
        <v>11</v>
      </c>
      <c r="G300" s="5">
        <v>91.7</v>
      </c>
      <c r="H300" s="5">
        <v>3.75</v>
      </c>
      <c r="I300" s="5">
        <v>0</v>
      </c>
      <c r="J300" s="5">
        <v>3.1</v>
      </c>
      <c r="K300" s="5">
        <v>599017.32999999996</v>
      </c>
      <c r="L300" s="5">
        <v>134009.92000000001</v>
      </c>
      <c r="M300" s="12">
        <v>1</v>
      </c>
      <c r="N300" s="12">
        <v>0</v>
      </c>
      <c r="O300" s="12">
        <v>0</v>
      </c>
      <c r="P300" s="12">
        <v>0</v>
      </c>
      <c r="Q300" s="12">
        <v>1</v>
      </c>
      <c r="R300" s="12">
        <v>0</v>
      </c>
    </row>
    <row r="301" spans="1:18">
      <c r="A301" s="3" t="s">
        <v>96</v>
      </c>
      <c r="B301" s="4">
        <v>45748</v>
      </c>
      <c r="C301" s="5">
        <v>24362.98</v>
      </c>
      <c r="D301" s="5">
        <v>1462</v>
      </c>
      <c r="E301" s="5">
        <v>0.11700000000000001</v>
      </c>
      <c r="F301" s="5">
        <v>6</v>
      </c>
      <c r="G301" s="5">
        <v>89.3</v>
      </c>
      <c r="H301" s="5">
        <v>15.06</v>
      </c>
      <c r="I301" s="5">
        <v>0</v>
      </c>
      <c r="J301" s="5">
        <v>3.2</v>
      </c>
      <c r="K301" s="5">
        <v>401582.58</v>
      </c>
      <c r="L301" s="5">
        <v>68454.929999999993</v>
      </c>
      <c r="M301" s="12">
        <v>1</v>
      </c>
      <c r="N301" s="12">
        <v>0</v>
      </c>
      <c r="O301" s="12">
        <v>0</v>
      </c>
      <c r="P301" s="12">
        <v>0</v>
      </c>
      <c r="Q301" s="12">
        <v>1</v>
      </c>
      <c r="R301" s="12">
        <v>0</v>
      </c>
    </row>
    <row r="302" spans="1:18">
      <c r="A302" s="3" t="s">
        <v>97</v>
      </c>
      <c r="B302" s="4">
        <v>45658</v>
      </c>
      <c r="C302" s="5">
        <v>40647.67</v>
      </c>
      <c r="D302" s="5">
        <v>8252</v>
      </c>
      <c r="E302" s="5">
        <v>0.14099999999999999</v>
      </c>
      <c r="F302" s="5">
        <v>22</v>
      </c>
      <c r="G302" s="5">
        <v>88.2</v>
      </c>
      <c r="H302" s="5">
        <v>5.07</v>
      </c>
      <c r="I302" s="5">
        <v>1</v>
      </c>
      <c r="J302" s="5">
        <v>4.0999999999999996</v>
      </c>
      <c r="K302" s="5">
        <v>703812.99</v>
      </c>
      <c r="L302" s="5">
        <v>133577.98000000001</v>
      </c>
      <c r="M302" s="12">
        <v>0</v>
      </c>
      <c r="N302" s="12">
        <v>1</v>
      </c>
      <c r="O302" s="12">
        <v>0</v>
      </c>
      <c r="P302" s="12">
        <v>0</v>
      </c>
      <c r="Q302" s="12">
        <v>0</v>
      </c>
      <c r="R302" s="12">
        <v>1</v>
      </c>
    </row>
    <row r="303" spans="1:18">
      <c r="A303" s="3" t="s">
        <v>97</v>
      </c>
      <c r="B303" s="4">
        <v>45689</v>
      </c>
      <c r="C303" s="5">
        <v>63986.98</v>
      </c>
      <c r="D303" s="5">
        <v>7989</v>
      </c>
      <c r="E303" s="5">
        <v>7.3999999999999996E-2</v>
      </c>
      <c r="F303" s="5">
        <v>20</v>
      </c>
      <c r="G303" s="5">
        <v>83.3</v>
      </c>
      <c r="H303" s="5">
        <v>3.6</v>
      </c>
      <c r="I303" s="5">
        <v>0</v>
      </c>
      <c r="J303" s="5">
        <v>3.7</v>
      </c>
      <c r="K303" s="5">
        <v>724346.73</v>
      </c>
      <c r="L303" s="5">
        <v>155013.91</v>
      </c>
      <c r="M303" s="12">
        <v>0</v>
      </c>
      <c r="N303" s="12">
        <v>1</v>
      </c>
      <c r="O303" s="12">
        <v>0</v>
      </c>
      <c r="P303" s="12">
        <v>0</v>
      </c>
      <c r="Q303" s="12">
        <v>0</v>
      </c>
      <c r="R303" s="12">
        <v>1</v>
      </c>
    </row>
    <row r="304" spans="1:18">
      <c r="A304" s="3" t="s">
        <v>97</v>
      </c>
      <c r="B304" s="4">
        <v>45717</v>
      </c>
      <c r="C304" s="5">
        <v>52843.75</v>
      </c>
      <c r="D304" s="5">
        <v>8268</v>
      </c>
      <c r="E304" s="5">
        <v>0.13800000000000001</v>
      </c>
      <c r="F304" s="5">
        <v>19</v>
      </c>
      <c r="G304" s="5">
        <v>87.3</v>
      </c>
      <c r="H304" s="5">
        <v>4.3899999999999997</v>
      </c>
      <c r="I304" s="5">
        <v>1</v>
      </c>
      <c r="J304" s="5">
        <v>4.7</v>
      </c>
      <c r="K304" s="5">
        <v>730890.01</v>
      </c>
      <c r="L304" s="5">
        <v>105502.56</v>
      </c>
      <c r="M304" s="12">
        <v>0</v>
      </c>
      <c r="N304" s="12">
        <v>1</v>
      </c>
      <c r="O304" s="12">
        <v>0</v>
      </c>
      <c r="P304" s="12">
        <v>0</v>
      </c>
      <c r="Q304" s="12">
        <v>0</v>
      </c>
      <c r="R304" s="12">
        <v>1</v>
      </c>
    </row>
    <row r="305" spans="1:18">
      <c r="A305" s="3" t="s">
        <v>97</v>
      </c>
      <c r="B305" s="4">
        <v>45748</v>
      </c>
      <c r="C305" s="5">
        <v>31997.25</v>
      </c>
      <c r="D305" s="5">
        <v>8183</v>
      </c>
      <c r="E305" s="5">
        <v>0.19800000000000001</v>
      </c>
      <c r="F305" s="5">
        <v>18</v>
      </c>
      <c r="G305" s="5">
        <v>93</v>
      </c>
      <c r="H305" s="5">
        <v>2.79</v>
      </c>
      <c r="I305" s="5">
        <v>0</v>
      </c>
      <c r="J305" s="5">
        <v>4.2</v>
      </c>
      <c r="K305" s="5">
        <v>780580.95</v>
      </c>
      <c r="L305" s="5">
        <v>138144.46</v>
      </c>
      <c r="M305" s="12">
        <v>0</v>
      </c>
      <c r="N305" s="12">
        <v>1</v>
      </c>
      <c r="O305" s="12">
        <v>0</v>
      </c>
      <c r="P305" s="12">
        <v>0</v>
      </c>
      <c r="Q305" s="12">
        <v>0</v>
      </c>
      <c r="R305" s="12">
        <v>1</v>
      </c>
    </row>
    <row r="306" spans="1:18">
      <c r="A306" s="3" t="s">
        <v>98</v>
      </c>
      <c r="B306" s="4">
        <v>45658</v>
      </c>
      <c r="C306" s="5">
        <v>54948.02</v>
      </c>
      <c r="D306" s="5">
        <v>6534</v>
      </c>
      <c r="E306" s="5">
        <v>0.183</v>
      </c>
      <c r="F306" s="5">
        <v>14</v>
      </c>
      <c r="G306" s="5">
        <v>94.5</v>
      </c>
      <c r="H306" s="5">
        <v>1.56</v>
      </c>
      <c r="I306" s="5">
        <v>0</v>
      </c>
      <c r="J306" s="5">
        <v>4</v>
      </c>
      <c r="K306" s="5">
        <v>727957.48</v>
      </c>
      <c r="L306" s="5">
        <v>74805.23</v>
      </c>
      <c r="M306" s="12">
        <v>0</v>
      </c>
      <c r="N306" s="12">
        <v>0</v>
      </c>
      <c r="O306" s="12">
        <v>1</v>
      </c>
      <c r="P306" s="12">
        <v>0</v>
      </c>
      <c r="Q306" s="12">
        <v>0</v>
      </c>
      <c r="R306" s="12">
        <v>0</v>
      </c>
    </row>
    <row r="307" spans="1:18">
      <c r="A307" s="3" t="s">
        <v>98</v>
      </c>
      <c r="B307" s="4">
        <v>45689</v>
      </c>
      <c r="C307" s="5">
        <v>46146.239999999998</v>
      </c>
      <c r="D307" s="5">
        <v>5804</v>
      </c>
      <c r="E307" s="5">
        <v>4.7E-2</v>
      </c>
      <c r="F307" s="5">
        <v>16</v>
      </c>
      <c r="G307" s="5">
        <v>86.9</v>
      </c>
      <c r="H307" s="5">
        <v>15.82</v>
      </c>
      <c r="I307" s="5">
        <v>0</v>
      </c>
      <c r="J307" s="5">
        <v>3.8</v>
      </c>
      <c r="K307" s="5">
        <v>538376</v>
      </c>
      <c r="L307" s="5">
        <v>87605.62</v>
      </c>
      <c r="M307" s="12">
        <v>0</v>
      </c>
      <c r="N307" s="12">
        <v>0</v>
      </c>
      <c r="O307" s="12">
        <v>1</v>
      </c>
      <c r="P307" s="12">
        <v>0</v>
      </c>
      <c r="Q307" s="12">
        <v>0</v>
      </c>
      <c r="R307" s="12">
        <v>0</v>
      </c>
    </row>
    <row r="308" spans="1:18">
      <c r="A308" s="3" t="s">
        <v>98</v>
      </c>
      <c r="B308" s="4">
        <v>45717</v>
      </c>
      <c r="C308" s="5">
        <v>22387.26</v>
      </c>
      <c r="D308" s="5">
        <v>6301</v>
      </c>
      <c r="E308" s="5">
        <v>0.14599999999999999</v>
      </c>
      <c r="F308" s="5">
        <v>14</v>
      </c>
      <c r="G308" s="5">
        <v>85.9</v>
      </c>
      <c r="H308" s="5">
        <v>1.17</v>
      </c>
      <c r="I308" s="5">
        <v>1</v>
      </c>
      <c r="J308" s="5">
        <v>3.7</v>
      </c>
      <c r="K308" s="5">
        <v>665342.49</v>
      </c>
      <c r="L308" s="5">
        <v>93441.81</v>
      </c>
      <c r="M308" s="12">
        <v>0</v>
      </c>
      <c r="N308" s="12">
        <v>0</v>
      </c>
      <c r="O308" s="12">
        <v>1</v>
      </c>
      <c r="P308" s="12">
        <v>0</v>
      </c>
      <c r="Q308" s="12">
        <v>0</v>
      </c>
      <c r="R308" s="12">
        <v>0</v>
      </c>
    </row>
    <row r="309" spans="1:18">
      <c r="A309" s="3" t="s">
        <v>98</v>
      </c>
      <c r="B309" s="4">
        <v>45748</v>
      </c>
      <c r="C309" s="5">
        <v>60684.05</v>
      </c>
      <c r="D309" s="5">
        <v>6399</v>
      </c>
      <c r="E309" s="5">
        <v>7.4999999999999997E-2</v>
      </c>
      <c r="F309" s="5">
        <v>16</v>
      </c>
      <c r="G309" s="5">
        <v>99</v>
      </c>
      <c r="H309" s="5">
        <v>3.82</v>
      </c>
      <c r="I309" s="5">
        <v>0</v>
      </c>
      <c r="J309" s="5">
        <v>3.5</v>
      </c>
      <c r="K309" s="5">
        <v>651164.18000000005</v>
      </c>
      <c r="L309" s="5">
        <v>109466.5</v>
      </c>
      <c r="M309" s="12">
        <v>0</v>
      </c>
      <c r="N309" s="12">
        <v>0</v>
      </c>
      <c r="O309" s="12">
        <v>1</v>
      </c>
      <c r="P309" s="12">
        <v>0</v>
      </c>
      <c r="Q309" s="12">
        <v>0</v>
      </c>
      <c r="R309" s="12">
        <v>0</v>
      </c>
    </row>
    <row r="310" spans="1:18">
      <c r="A310" s="3" t="s">
        <v>99</v>
      </c>
      <c r="B310" s="4">
        <v>45658</v>
      </c>
      <c r="C310" s="5">
        <v>48465.599999999999</v>
      </c>
      <c r="D310" s="5">
        <v>5759</v>
      </c>
      <c r="E310" s="5">
        <v>0.154</v>
      </c>
      <c r="F310" s="5">
        <v>13</v>
      </c>
      <c r="G310" s="5">
        <v>87.5</v>
      </c>
      <c r="H310" s="5">
        <v>4.1399999999999997</v>
      </c>
      <c r="I310" s="5">
        <v>0</v>
      </c>
      <c r="J310" s="5">
        <v>4</v>
      </c>
      <c r="K310" s="5">
        <v>628538.30000000005</v>
      </c>
      <c r="L310" s="5">
        <v>112509.15</v>
      </c>
      <c r="M310" s="12">
        <v>0</v>
      </c>
      <c r="N310" s="12">
        <v>0</v>
      </c>
      <c r="O310" s="12">
        <v>1</v>
      </c>
      <c r="P310" s="12">
        <v>0</v>
      </c>
      <c r="Q310" s="12">
        <v>1</v>
      </c>
      <c r="R310" s="12">
        <v>0</v>
      </c>
    </row>
    <row r="311" spans="1:18">
      <c r="A311" s="3" t="s">
        <v>99</v>
      </c>
      <c r="B311" s="4">
        <v>45689</v>
      </c>
      <c r="C311" s="5">
        <v>23702.38</v>
      </c>
      <c r="D311" s="5">
        <v>5285</v>
      </c>
      <c r="E311" s="5">
        <v>0.16700000000000001</v>
      </c>
      <c r="F311" s="5">
        <v>14</v>
      </c>
      <c r="G311" s="5">
        <v>79.7</v>
      </c>
      <c r="H311" s="5">
        <v>1.1000000000000001</v>
      </c>
      <c r="I311" s="5">
        <v>0</v>
      </c>
      <c r="J311" s="5">
        <v>4.3</v>
      </c>
      <c r="K311" s="5">
        <v>536524.84</v>
      </c>
      <c r="L311" s="5">
        <v>92752.94</v>
      </c>
      <c r="M311" s="12">
        <v>0</v>
      </c>
      <c r="N311" s="12">
        <v>0</v>
      </c>
      <c r="O311" s="12">
        <v>1</v>
      </c>
      <c r="P311" s="12">
        <v>0</v>
      </c>
      <c r="Q311" s="12">
        <v>1</v>
      </c>
      <c r="R311" s="12">
        <v>0</v>
      </c>
    </row>
    <row r="312" spans="1:18">
      <c r="A312" s="3" t="s">
        <v>99</v>
      </c>
      <c r="B312" s="4">
        <v>45717</v>
      </c>
      <c r="C312" s="5">
        <v>54322.94</v>
      </c>
      <c r="D312" s="5">
        <v>5434</v>
      </c>
      <c r="E312" s="5">
        <v>0.2</v>
      </c>
      <c r="F312" s="5">
        <v>13</v>
      </c>
      <c r="G312" s="5">
        <v>85.7</v>
      </c>
      <c r="H312" s="5">
        <v>10.6</v>
      </c>
      <c r="I312" s="5">
        <v>0</v>
      </c>
      <c r="J312" s="5">
        <v>4.2</v>
      </c>
      <c r="K312" s="5">
        <v>621677.30000000005</v>
      </c>
      <c r="L312" s="5">
        <v>105192.52</v>
      </c>
      <c r="M312" s="12">
        <v>0</v>
      </c>
      <c r="N312" s="12">
        <v>0</v>
      </c>
      <c r="O312" s="12">
        <v>1</v>
      </c>
      <c r="P312" s="12">
        <v>0</v>
      </c>
      <c r="Q312" s="12">
        <v>1</v>
      </c>
      <c r="R312" s="12">
        <v>0</v>
      </c>
    </row>
    <row r="313" spans="1:18">
      <c r="A313" s="3" t="s">
        <v>99</v>
      </c>
      <c r="B313" s="4">
        <v>45748</v>
      </c>
      <c r="C313" s="5">
        <v>86026.58</v>
      </c>
      <c r="D313" s="5">
        <v>7479</v>
      </c>
      <c r="E313" s="5">
        <v>0.14199999999999999</v>
      </c>
      <c r="F313" s="5">
        <v>20</v>
      </c>
      <c r="G313" s="5">
        <v>89</v>
      </c>
      <c r="H313" s="5">
        <v>0.9</v>
      </c>
      <c r="I313" s="5">
        <v>0</v>
      </c>
      <c r="J313" s="5">
        <v>3.9</v>
      </c>
      <c r="K313" s="5">
        <v>771129.07</v>
      </c>
      <c r="L313" s="5">
        <v>116851.13</v>
      </c>
      <c r="M313" s="12">
        <v>0</v>
      </c>
      <c r="N313" s="12">
        <v>0</v>
      </c>
      <c r="O313" s="12">
        <v>1</v>
      </c>
      <c r="P313" s="12">
        <v>0</v>
      </c>
      <c r="Q313" s="12">
        <v>1</v>
      </c>
      <c r="R313" s="12">
        <v>0</v>
      </c>
    </row>
    <row r="314" spans="1:18">
      <c r="A314" s="3" t="s">
        <v>100</v>
      </c>
      <c r="B314" s="4">
        <v>45658</v>
      </c>
      <c r="C314" s="5">
        <v>78967.520000000004</v>
      </c>
      <c r="D314" s="5">
        <v>6164</v>
      </c>
      <c r="E314" s="5">
        <v>2.1000000000000001E-2</v>
      </c>
      <c r="F314" s="5">
        <v>16</v>
      </c>
      <c r="G314" s="5">
        <v>85.5</v>
      </c>
      <c r="H314" s="5">
        <v>0.2</v>
      </c>
      <c r="I314" s="5">
        <v>0</v>
      </c>
      <c r="J314" s="5">
        <v>3.4</v>
      </c>
      <c r="K314" s="5">
        <v>702052.47</v>
      </c>
      <c r="L314" s="5">
        <v>121732.51</v>
      </c>
      <c r="M314" s="12">
        <v>0</v>
      </c>
      <c r="N314" s="12">
        <v>1</v>
      </c>
      <c r="O314" s="12">
        <v>0</v>
      </c>
      <c r="P314" s="12">
        <v>0</v>
      </c>
      <c r="Q314" s="12">
        <v>0</v>
      </c>
      <c r="R314" s="12">
        <v>0</v>
      </c>
    </row>
    <row r="315" spans="1:18">
      <c r="A315" s="3" t="s">
        <v>100</v>
      </c>
      <c r="B315" s="4">
        <v>45689</v>
      </c>
      <c r="C315" s="5">
        <v>46767.99</v>
      </c>
      <c r="D315" s="5">
        <v>7973</v>
      </c>
      <c r="E315" s="5">
        <v>0.183</v>
      </c>
      <c r="F315" s="5">
        <v>18</v>
      </c>
      <c r="G315" s="5">
        <v>94.8</v>
      </c>
      <c r="H315" s="5">
        <v>4.67</v>
      </c>
      <c r="I315" s="5">
        <v>0</v>
      </c>
      <c r="J315" s="5">
        <v>3.9</v>
      </c>
      <c r="K315" s="5">
        <v>688368.46</v>
      </c>
      <c r="L315" s="5">
        <v>93588.42</v>
      </c>
      <c r="M315" s="12">
        <v>0</v>
      </c>
      <c r="N315" s="12">
        <v>1</v>
      </c>
      <c r="O315" s="12">
        <v>0</v>
      </c>
      <c r="P315" s="12">
        <v>0</v>
      </c>
      <c r="Q315" s="12">
        <v>0</v>
      </c>
      <c r="R315" s="12">
        <v>0</v>
      </c>
    </row>
    <row r="316" spans="1:18">
      <c r="A316" s="3" t="s">
        <v>100</v>
      </c>
      <c r="B316" s="4">
        <v>45717</v>
      </c>
      <c r="C316" s="5">
        <v>62507.16</v>
      </c>
      <c r="D316" s="5">
        <v>6000</v>
      </c>
      <c r="E316" s="5">
        <v>9.0999999999999998E-2</v>
      </c>
      <c r="F316" s="5">
        <v>14</v>
      </c>
      <c r="G316" s="5">
        <v>98.2</v>
      </c>
      <c r="H316" s="5">
        <v>4.38</v>
      </c>
      <c r="I316" s="5">
        <v>1</v>
      </c>
      <c r="J316" s="5">
        <v>3.9</v>
      </c>
      <c r="K316" s="5">
        <v>712375.77</v>
      </c>
      <c r="L316" s="5">
        <v>104171.53</v>
      </c>
      <c r="M316" s="12">
        <v>0</v>
      </c>
      <c r="N316" s="12">
        <v>1</v>
      </c>
      <c r="O316" s="12">
        <v>0</v>
      </c>
      <c r="P316" s="12">
        <v>0</v>
      </c>
      <c r="Q316" s="12">
        <v>0</v>
      </c>
      <c r="R316" s="12">
        <v>0</v>
      </c>
    </row>
    <row r="317" spans="1:18">
      <c r="A317" s="3" t="s">
        <v>100</v>
      </c>
      <c r="B317" s="4">
        <v>45748</v>
      </c>
      <c r="C317" s="5">
        <v>66456.28</v>
      </c>
      <c r="D317" s="5">
        <v>9967</v>
      </c>
      <c r="E317" s="5">
        <v>0.108</v>
      </c>
      <c r="F317" s="5">
        <v>20</v>
      </c>
      <c r="G317" s="5">
        <v>94.7</v>
      </c>
      <c r="H317" s="5">
        <v>4.4800000000000004</v>
      </c>
      <c r="I317" s="5">
        <v>0</v>
      </c>
      <c r="J317" s="5">
        <v>4.2</v>
      </c>
      <c r="K317" s="5">
        <v>844710.67</v>
      </c>
      <c r="L317" s="5">
        <v>137140.18</v>
      </c>
      <c r="M317" s="12">
        <v>0</v>
      </c>
      <c r="N317" s="12">
        <v>1</v>
      </c>
      <c r="O317" s="12">
        <v>0</v>
      </c>
      <c r="P317" s="12">
        <v>0</v>
      </c>
      <c r="Q317" s="12">
        <v>0</v>
      </c>
      <c r="R317" s="12">
        <v>0</v>
      </c>
    </row>
    <row r="318" spans="1:18">
      <c r="A318" s="3" t="s">
        <v>101</v>
      </c>
      <c r="B318" s="4">
        <v>45658</v>
      </c>
      <c r="C318" s="5">
        <v>76614.320000000007</v>
      </c>
      <c r="D318" s="5">
        <v>5639</v>
      </c>
      <c r="E318" s="5">
        <v>0.17399999999999999</v>
      </c>
      <c r="F318" s="5">
        <v>15</v>
      </c>
      <c r="G318" s="5">
        <v>92.9</v>
      </c>
      <c r="H318" s="5">
        <v>1.02</v>
      </c>
      <c r="I318" s="5">
        <v>1</v>
      </c>
      <c r="J318" s="5">
        <v>4</v>
      </c>
      <c r="K318" s="5">
        <v>620264.19999999995</v>
      </c>
      <c r="L318" s="5">
        <v>91365.64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</row>
    <row r="319" spans="1:18">
      <c r="A319" s="3" t="s">
        <v>101</v>
      </c>
      <c r="B319" s="4">
        <v>45689</v>
      </c>
      <c r="C319" s="5">
        <v>24088.06</v>
      </c>
      <c r="D319" s="5">
        <v>3466</v>
      </c>
      <c r="E319" s="5">
        <v>0</v>
      </c>
      <c r="F319" s="5">
        <v>11</v>
      </c>
      <c r="G319" s="5">
        <v>88</v>
      </c>
      <c r="H319" s="5">
        <v>0.2</v>
      </c>
      <c r="I319" s="5">
        <v>0</v>
      </c>
      <c r="J319" s="5">
        <v>3.8</v>
      </c>
      <c r="K319" s="5">
        <v>536845.42000000004</v>
      </c>
      <c r="L319" s="5">
        <v>107473.75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</row>
    <row r="320" spans="1:18">
      <c r="A320" s="3" t="s">
        <v>101</v>
      </c>
      <c r="B320" s="4">
        <v>45717</v>
      </c>
      <c r="C320" s="5">
        <v>81902.58</v>
      </c>
      <c r="D320" s="5">
        <v>7775</v>
      </c>
      <c r="E320" s="5">
        <v>0.215</v>
      </c>
      <c r="F320" s="5">
        <v>20</v>
      </c>
      <c r="G320" s="5">
        <v>85.2</v>
      </c>
      <c r="H320" s="5">
        <v>4.8899999999999997</v>
      </c>
      <c r="I320" s="5">
        <v>1</v>
      </c>
      <c r="J320" s="5">
        <v>4.2</v>
      </c>
      <c r="K320" s="5">
        <v>726776.22</v>
      </c>
      <c r="L320" s="5">
        <v>90804.49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</row>
    <row r="321" spans="1:18">
      <c r="A321" s="3" t="s">
        <v>101</v>
      </c>
      <c r="B321" s="4">
        <v>45748</v>
      </c>
      <c r="C321" s="5">
        <v>40553.11</v>
      </c>
      <c r="D321" s="5">
        <v>5317</v>
      </c>
      <c r="E321" s="5">
        <v>0.16500000000000001</v>
      </c>
      <c r="F321" s="5">
        <v>17</v>
      </c>
      <c r="G321" s="5">
        <v>84.3</v>
      </c>
      <c r="H321" s="5">
        <v>11.82</v>
      </c>
      <c r="I321" s="5">
        <v>0</v>
      </c>
      <c r="J321" s="5">
        <v>4.0999999999999996</v>
      </c>
      <c r="K321" s="5">
        <v>559660.84</v>
      </c>
      <c r="L321" s="5">
        <v>71443.61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0</v>
      </c>
    </row>
  </sheetData>
  <autoFilter ref="A1:L3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48E7C-79AF-4E1E-884C-AE967182D45C}">
  <dimension ref="A1:M321"/>
  <sheetViews>
    <sheetView workbookViewId="0">
      <selection activeCell="D1" sqref="D1:I1048576"/>
    </sheetView>
  </sheetViews>
  <sheetFormatPr defaultRowHeight="14.4"/>
  <cols>
    <col min="1" max="1" width="14.88671875" style="3" customWidth="1"/>
    <col min="2" max="3" width="17.77734375" style="5" customWidth="1"/>
    <col min="4" max="4" width="18.21875" style="12" customWidth="1"/>
    <col min="5" max="5" width="15.33203125" style="12" customWidth="1"/>
    <col min="6" max="6" width="18.109375" style="12" customWidth="1"/>
    <col min="7" max="7" width="23.77734375" style="12" customWidth="1"/>
    <col min="8" max="8" width="23.109375" style="12" customWidth="1"/>
    <col min="9" max="9" width="24.33203125" style="12" customWidth="1"/>
    <col min="13" max="13" width="22.109375" bestFit="1" customWidth="1"/>
  </cols>
  <sheetData>
    <row r="1" spans="1:13" ht="27.6">
      <c r="A1" s="1" t="s">
        <v>0</v>
      </c>
      <c r="B1" s="1" t="s">
        <v>2</v>
      </c>
      <c r="C1" s="1" t="s">
        <v>3</v>
      </c>
      <c r="D1" s="11" t="s">
        <v>120</v>
      </c>
      <c r="E1" s="11" t="s">
        <v>121</v>
      </c>
      <c r="F1" s="11" t="s">
        <v>122</v>
      </c>
      <c r="G1" s="11" t="s">
        <v>124</v>
      </c>
      <c r="H1" s="11" t="s">
        <v>123</v>
      </c>
      <c r="I1" s="11" t="s">
        <v>125</v>
      </c>
      <c r="L1" s="14" t="s">
        <v>127</v>
      </c>
    </row>
    <row r="2" spans="1:13">
      <c r="A2" s="3" t="s">
        <v>14</v>
      </c>
      <c r="B2" s="5" t="s">
        <v>15</v>
      </c>
      <c r="C2" s="5" t="s">
        <v>16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L2" s="13"/>
      <c r="M2" t="s">
        <v>126</v>
      </c>
    </row>
    <row r="3" spans="1:13">
      <c r="A3" s="3" t="s">
        <v>14</v>
      </c>
      <c r="B3" s="5" t="s">
        <v>15</v>
      </c>
      <c r="C3" s="5" t="s">
        <v>16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</row>
    <row r="4" spans="1:13">
      <c r="A4" s="3" t="s">
        <v>14</v>
      </c>
      <c r="B4" s="5" t="s">
        <v>15</v>
      </c>
      <c r="C4" s="5" t="s">
        <v>16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</row>
    <row r="5" spans="1:13">
      <c r="A5" s="3" t="s">
        <v>14</v>
      </c>
      <c r="B5" s="5" t="s">
        <v>15</v>
      </c>
      <c r="C5" s="5" t="s">
        <v>16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</row>
    <row r="6" spans="1:13">
      <c r="A6" s="3" t="s">
        <v>17</v>
      </c>
      <c r="B6" s="5" t="s">
        <v>15</v>
      </c>
      <c r="C6" s="5" t="s">
        <v>18</v>
      </c>
      <c r="D6" s="12">
        <v>0</v>
      </c>
      <c r="E6" s="12">
        <v>0</v>
      </c>
      <c r="F6" s="12">
        <v>0</v>
      </c>
      <c r="G6" s="12">
        <v>0</v>
      </c>
      <c r="H6" s="12">
        <v>1</v>
      </c>
      <c r="I6" s="12">
        <v>0</v>
      </c>
    </row>
    <row r="7" spans="1:13">
      <c r="A7" s="3" t="s">
        <v>17</v>
      </c>
      <c r="B7" s="5" t="s">
        <v>15</v>
      </c>
      <c r="C7" s="5" t="s">
        <v>18</v>
      </c>
      <c r="D7" s="12">
        <v>0</v>
      </c>
      <c r="E7" s="12">
        <v>0</v>
      </c>
      <c r="F7" s="12">
        <v>0</v>
      </c>
      <c r="G7" s="12">
        <v>0</v>
      </c>
      <c r="H7" s="12">
        <v>1</v>
      </c>
      <c r="I7" s="12">
        <v>0</v>
      </c>
    </row>
    <row r="8" spans="1:13">
      <c r="A8" s="3" t="s">
        <v>17</v>
      </c>
      <c r="B8" s="5" t="s">
        <v>15</v>
      </c>
      <c r="C8" s="5" t="s">
        <v>18</v>
      </c>
      <c r="D8" s="12">
        <v>0</v>
      </c>
      <c r="E8" s="12">
        <v>0</v>
      </c>
      <c r="F8" s="12">
        <v>0</v>
      </c>
      <c r="G8" s="12">
        <v>0</v>
      </c>
      <c r="H8" s="12">
        <v>1</v>
      </c>
      <c r="I8" s="12">
        <v>0</v>
      </c>
    </row>
    <row r="9" spans="1:13">
      <c r="A9" s="3" t="s">
        <v>17</v>
      </c>
      <c r="B9" s="5" t="s">
        <v>15</v>
      </c>
      <c r="C9" s="5" t="s">
        <v>18</v>
      </c>
      <c r="D9" s="12">
        <v>0</v>
      </c>
      <c r="E9" s="12">
        <v>0</v>
      </c>
      <c r="F9" s="12">
        <v>0</v>
      </c>
      <c r="G9" s="12">
        <v>0</v>
      </c>
      <c r="H9" s="12">
        <v>1</v>
      </c>
      <c r="I9" s="12">
        <v>0</v>
      </c>
    </row>
    <row r="10" spans="1:13">
      <c r="A10" s="3" t="s">
        <v>19</v>
      </c>
      <c r="B10" s="5" t="s">
        <v>20</v>
      </c>
      <c r="C10" s="5" t="s">
        <v>21</v>
      </c>
      <c r="D10" s="12">
        <v>0</v>
      </c>
      <c r="E10" s="12">
        <v>1</v>
      </c>
      <c r="F10" s="12">
        <v>0</v>
      </c>
      <c r="G10" s="12">
        <v>1</v>
      </c>
      <c r="H10" s="12">
        <v>0</v>
      </c>
      <c r="I10" s="12">
        <v>0</v>
      </c>
    </row>
    <row r="11" spans="1:13">
      <c r="A11" s="3" t="s">
        <v>19</v>
      </c>
      <c r="B11" s="5" t="s">
        <v>20</v>
      </c>
      <c r="C11" s="5" t="s">
        <v>21</v>
      </c>
      <c r="D11" s="12">
        <v>0</v>
      </c>
      <c r="E11" s="12">
        <v>1</v>
      </c>
      <c r="F11" s="12">
        <v>0</v>
      </c>
      <c r="G11" s="12">
        <v>1</v>
      </c>
      <c r="H11" s="12">
        <v>0</v>
      </c>
      <c r="I11" s="12">
        <v>0</v>
      </c>
    </row>
    <row r="12" spans="1:13">
      <c r="A12" s="3" t="s">
        <v>19</v>
      </c>
      <c r="B12" s="5" t="s">
        <v>20</v>
      </c>
      <c r="C12" s="5" t="s">
        <v>21</v>
      </c>
      <c r="D12" s="12">
        <v>0</v>
      </c>
      <c r="E12" s="12">
        <v>1</v>
      </c>
      <c r="F12" s="12">
        <v>0</v>
      </c>
      <c r="G12" s="12">
        <v>1</v>
      </c>
      <c r="H12" s="12">
        <v>0</v>
      </c>
      <c r="I12" s="12">
        <v>0</v>
      </c>
    </row>
    <row r="13" spans="1:13">
      <c r="A13" s="3" t="s">
        <v>19</v>
      </c>
      <c r="B13" s="5" t="s">
        <v>20</v>
      </c>
      <c r="C13" s="5" t="s">
        <v>21</v>
      </c>
      <c r="D13" s="12">
        <v>0</v>
      </c>
      <c r="E13" s="12">
        <v>1</v>
      </c>
      <c r="F13" s="12">
        <v>0</v>
      </c>
      <c r="G13" s="12">
        <v>1</v>
      </c>
      <c r="H13" s="12">
        <v>0</v>
      </c>
      <c r="I13" s="12">
        <v>0</v>
      </c>
    </row>
    <row r="14" spans="1:13">
      <c r="A14" s="3" t="s">
        <v>22</v>
      </c>
      <c r="B14" s="5" t="s">
        <v>15</v>
      </c>
      <c r="C14" s="5" t="s">
        <v>16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1:13">
      <c r="A15" s="3" t="s">
        <v>22</v>
      </c>
      <c r="B15" s="5" t="s">
        <v>15</v>
      </c>
      <c r="C15" s="5" t="s">
        <v>16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</row>
    <row r="16" spans="1:13">
      <c r="A16" s="3" t="s">
        <v>22</v>
      </c>
      <c r="B16" s="5" t="s">
        <v>15</v>
      </c>
      <c r="C16" s="5" t="s">
        <v>16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1:9">
      <c r="A17" s="3" t="s">
        <v>22</v>
      </c>
      <c r="B17" s="5" t="s">
        <v>15</v>
      </c>
      <c r="C17" s="5" t="s">
        <v>16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1:9">
      <c r="A18" s="3" t="s">
        <v>23</v>
      </c>
      <c r="B18" s="5" t="s">
        <v>24</v>
      </c>
      <c r="C18" s="5" t="s">
        <v>16</v>
      </c>
      <c r="D18" s="12">
        <v>0</v>
      </c>
      <c r="E18" s="12">
        <v>0</v>
      </c>
      <c r="F18" s="12">
        <v>1</v>
      </c>
      <c r="G18" s="12">
        <v>0</v>
      </c>
      <c r="H18" s="12">
        <v>0</v>
      </c>
      <c r="I18" s="12">
        <v>0</v>
      </c>
    </row>
    <row r="19" spans="1:9">
      <c r="A19" s="3" t="s">
        <v>23</v>
      </c>
      <c r="B19" s="5" t="s">
        <v>24</v>
      </c>
      <c r="C19" s="5" t="s">
        <v>16</v>
      </c>
      <c r="D19" s="12">
        <v>0</v>
      </c>
      <c r="E19" s="12">
        <v>0</v>
      </c>
      <c r="F19" s="12">
        <v>1</v>
      </c>
      <c r="G19" s="12">
        <v>0</v>
      </c>
      <c r="H19" s="12">
        <v>0</v>
      </c>
      <c r="I19" s="12">
        <v>0</v>
      </c>
    </row>
    <row r="20" spans="1:9">
      <c r="A20" s="3" t="s">
        <v>23</v>
      </c>
      <c r="B20" s="5" t="s">
        <v>24</v>
      </c>
      <c r="C20" s="5" t="s">
        <v>16</v>
      </c>
      <c r="D20" s="12">
        <v>0</v>
      </c>
      <c r="E20" s="12">
        <v>0</v>
      </c>
      <c r="F20" s="12">
        <v>1</v>
      </c>
      <c r="G20" s="12">
        <v>0</v>
      </c>
      <c r="H20" s="12">
        <v>0</v>
      </c>
      <c r="I20" s="12">
        <v>0</v>
      </c>
    </row>
    <row r="21" spans="1:9">
      <c r="A21" s="3" t="s">
        <v>23</v>
      </c>
      <c r="B21" s="5" t="s">
        <v>24</v>
      </c>
      <c r="C21" s="5" t="s">
        <v>16</v>
      </c>
      <c r="D21" s="12">
        <v>0</v>
      </c>
      <c r="E21" s="12">
        <v>0</v>
      </c>
      <c r="F21" s="12">
        <v>1</v>
      </c>
      <c r="G21" s="12">
        <v>0</v>
      </c>
      <c r="H21" s="12">
        <v>0</v>
      </c>
      <c r="I21" s="12">
        <v>0</v>
      </c>
    </row>
    <row r="22" spans="1:9">
      <c r="A22" s="3" t="s">
        <v>25</v>
      </c>
      <c r="B22" s="5" t="s">
        <v>20</v>
      </c>
      <c r="C22" s="5" t="s">
        <v>16</v>
      </c>
      <c r="D22" s="12">
        <v>0</v>
      </c>
      <c r="E22" s="12">
        <v>1</v>
      </c>
      <c r="F22" s="12">
        <v>0</v>
      </c>
      <c r="G22" s="12">
        <v>0</v>
      </c>
      <c r="H22" s="12">
        <v>0</v>
      </c>
      <c r="I22" s="12">
        <v>0</v>
      </c>
    </row>
    <row r="23" spans="1:9">
      <c r="A23" s="3" t="s">
        <v>25</v>
      </c>
      <c r="B23" s="5" t="s">
        <v>20</v>
      </c>
      <c r="C23" s="5" t="s">
        <v>16</v>
      </c>
      <c r="D23" s="12">
        <v>0</v>
      </c>
      <c r="E23" s="12">
        <v>1</v>
      </c>
      <c r="F23" s="12">
        <v>0</v>
      </c>
      <c r="G23" s="12">
        <v>0</v>
      </c>
      <c r="H23" s="12">
        <v>0</v>
      </c>
      <c r="I23" s="12">
        <v>0</v>
      </c>
    </row>
    <row r="24" spans="1:9">
      <c r="A24" s="3" t="s">
        <v>25</v>
      </c>
      <c r="B24" s="5" t="s">
        <v>20</v>
      </c>
      <c r="C24" s="5" t="s">
        <v>16</v>
      </c>
      <c r="D24" s="12">
        <v>0</v>
      </c>
      <c r="E24" s="12">
        <v>1</v>
      </c>
      <c r="F24" s="12">
        <v>0</v>
      </c>
      <c r="G24" s="12">
        <v>0</v>
      </c>
      <c r="H24" s="12">
        <v>0</v>
      </c>
      <c r="I24" s="12">
        <v>0</v>
      </c>
    </row>
    <row r="25" spans="1:9">
      <c r="A25" s="3" t="s">
        <v>25</v>
      </c>
      <c r="B25" s="5" t="s">
        <v>20</v>
      </c>
      <c r="C25" s="5" t="s">
        <v>16</v>
      </c>
      <c r="D25" s="12">
        <v>0</v>
      </c>
      <c r="E25" s="12">
        <v>1</v>
      </c>
      <c r="F25" s="12">
        <v>0</v>
      </c>
      <c r="G25" s="12">
        <v>0</v>
      </c>
      <c r="H25" s="12">
        <v>0</v>
      </c>
      <c r="I25" s="12">
        <v>0</v>
      </c>
    </row>
    <row r="26" spans="1:9">
      <c r="A26" s="3" t="s">
        <v>26</v>
      </c>
      <c r="B26" s="5" t="s">
        <v>27</v>
      </c>
      <c r="C26" s="5" t="s">
        <v>28</v>
      </c>
      <c r="D26" s="12">
        <v>1</v>
      </c>
      <c r="E26" s="12">
        <v>0</v>
      </c>
      <c r="F26" s="12">
        <v>0</v>
      </c>
      <c r="G26" s="12">
        <v>0</v>
      </c>
      <c r="H26" s="12">
        <v>0</v>
      </c>
      <c r="I26" s="12">
        <v>1</v>
      </c>
    </row>
    <row r="27" spans="1:9">
      <c r="A27" s="3" t="s">
        <v>26</v>
      </c>
      <c r="B27" s="5" t="s">
        <v>27</v>
      </c>
      <c r="C27" s="5" t="s">
        <v>28</v>
      </c>
      <c r="D27" s="12">
        <v>1</v>
      </c>
      <c r="E27" s="12">
        <v>0</v>
      </c>
      <c r="F27" s="12">
        <v>0</v>
      </c>
      <c r="G27" s="12">
        <v>0</v>
      </c>
      <c r="H27" s="12">
        <v>0</v>
      </c>
      <c r="I27" s="12">
        <v>1</v>
      </c>
    </row>
    <row r="28" spans="1:9">
      <c r="A28" s="3" t="s">
        <v>26</v>
      </c>
      <c r="B28" s="5" t="s">
        <v>27</v>
      </c>
      <c r="C28" s="5" t="s">
        <v>28</v>
      </c>
      <c r="D28" s="12">
        <v>1</v>
      </c>
      <c r="E28" s="12">
        <v>0</v>
      </c>
      <c r="F28" s="12">
        <v>0</v>
      </c>
      <c r="G28" s="12">
        <v>0</v>
      </c>
      <c r="H28" s="12">
        <v>0</v>
      </c>
      <c r="I28" s="12">
        <v>1</v>
      </c>
    </row>
    <row r="29" spans="1:9">
      <c r="A29" s="3" t="s">
        <v>26</v>
      </c>
      <c r="B29" s="5" t="s">
        <v>27</v>
      </c>
      <c r="C29" s="5" t="s">
        <v>28</v>
      </c>
      <c r="D29" s="12">
        <v>1</v>
      </c>
      <c r="E29" s="12">
        <v>0</v>
      </c>
      <c r="F29" s="12">
        <v>0</v>
      </c>
      <c r="G29" s="12">
        <v>0</v>
      </c>
      <c r="H29" s="12">
        <v>0</v>
      </c>
      <c r="I29" s="12">
        <v>1</v>
      </c>
    </row>
    <row r="30" spans="1:9">
      <c r="A30" s="3" t="s">
        <v>29</v>
      </c>
      <c r="B30" s="5" t="s">
        <v>15</v>
      </c>
      <c r="C30" s="5" t="s">
        <v>16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</row>
    <row r="31" spans="1:9">
      <c r="A31" s="3" t="s">
        <v>29</v>
      </c>
      <c r="B31" s="5" t="s">
        <v>15</v>
      </c>
      <c r="C31" s="5" t="s">
        <v>16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 spans="1:9">
      <c r="A32" s="3" t="s">
        <v>29</v>
      </c>
      <c r="B32" s="5" t="s">
        <v>15</v>
      </c>
      <c r="C32" s="5" t="s">
        <v>16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</row>
    <row r="33" spans="1:9">
      <c r="A33" s="3" t="s">
        <v>29</v>
      </c>
      <c r="B33" s="5" t="s">
        <v>15</v>
      </c>
      <c r="C33" s="5" t="s">
        <v>16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 spans="1:9">
      <c r="A34" s="3" t="s">
        <v>30</v>
      </c>
      <c r="B34" s="5" t="s">
        <v>20</v>
      </c>
      <c r="C34" s="5" t="s">
        <v>16</v>
      </c>
      <c r="D34" s="12">
        <v>0</v>
      </c>
      <c r="E34" s="12">
        <v>1</v>
      </c>
      <c r="F34" s="12">
        <v>0</v>
      </c>
      <c r="G34" s="12">
        <v>0</v>
      </c>
      <c r="H34" s="12">
        <v>0</v>
      </c>
      <c r="I34" s="12">
        <v>0</v>
      </c>
    </row>
    <row r="35" spans="1:9">
      <c r="A35" s="3" t="s">
        <v>30</v>
      </c>
      <c r="B35" s="5" t="s">
        <v>20</v>
      </c>
      <c r="C35" s="5" t="s">
        <v>16</v>
      </c>
      <c r="D35" s="12">
        <v>0</v>
      </c>
      <c r="E35" s="12">
        <v>1</v>
      </c>
      <c r="F35" s="12">
        <v>0</v>
      </c>
      <c r="G35" s="12">
        <v>0</v>
      </c>
      <c r="H35" s="12">
        <v>0</v>
      </c>
      <c r="I35" s="12">
        <v>0</v>
      </c>
    </row>
    <row r="36" spans="1:9">
      <c r="A36" s="3" t="s">
        <v>30</v>
      </c>
      <c r="B36" s="5" t="s">
        <v>20</v>
      </c>
      <c r="C36" s="5" t="s">
        <v>16</v>
      </c>
      <c r="D36" s="12">
        <v>0</v>
      </c>
      <c r="E36" s="12">
        <v>1</v>
      </c>
      <c r="F36" s="12">
        <v>0</v>
      </c>
      <c r="G36" s="12">
        <v>0</v>
      </c>
      <c r="H36" s="12">
        <v>0</v>
      </c>
      <c r="I36" s="12">
        <v>0</v>
      </c>
    </row>
    <row r="37" spans="1:9">
      <c r="A37" s="3" t="s">
        <v>30</v>
      </c>
      <c r="B37" s="5" t="s">
        <v>20</v>
      </c>
      <c r="C37" s="5" t="s">
        <v>16</v>
      </c>
      <c r="D37" s="12">
        <v>0</v>
      </c>
      <c r="E37" s="12">
        <v>1</v>
      </c>
      <c r="F37" s="12">
        <v>0</v>
      </c>
      <c r="G37" s="12">
        <v>0</v>
      </c>
      <c r="H37" s="12">
        <v>0</v>
      </c>
      <c r="I37" s="12">
        <v>0</v>
      </c>
    </row>
    <row r="38" spans="1:9">
      <c r="A38" s="3" t="s">
        <v>31</v>
      </c>
      <c r="B38" s="5" t="s">
        <v>20</v>
      </c>
      <c r="C38" s="5" t="s">
        <v>28</v>
      </c>
      <c r="D38" s="12">
        <v>0</v>
      </c>
      <c r="E38" s="12">
        <v>1</v>
      </c>
      <c r="F38" s="12">
        <v>0</v>
      </c>
      <c r="G38" s="12">
        <v>0</v>
      </c>
      <c r="H38" s="12">
        <v>0</v>
      </c>
      <c r="I38" s="12">
        <v>1</v>
      </c>
    </row>
    <row r="39" spans="1:9">
      <c r="A39" s="3" t="s">
        <v>31</v>
      </c>
      <c r="B39" s="5" t="s">
        <v>20</v>
      </c>
      <c r="C39" s="5" t="s">
        <v>28</v>
      </c>
      <c r="D39" s="12">
        <v>0</v>
      </c>
      <c r="E39" s="12">
        <v>1</v>
      </c>
      <c r="F39" s="12">
        <v>0</v>
      </c>
      <c r="G39" s="12">
        <v>0</v>
      </c>
      <c r="H39" s="12">
        <v>0</v>
      </c>
      <c r="I39" s="12">
        <v>1</v>
      </c>
    </row>
    <row r="40" spans="1:9">
      <c r="A40" s="3" t="s">
        <v>31</v>
      </c>
      <c r="B40" s="5" t="s">
        <v>20</v>
      </c>
      <c r="C40" s="5" t="s">
        <v>28</v>
      </c>
      <c r="D40" s="12">
        <v>0</v>
      </c>
      <c r="E40" s="12">
        <v>1</v>
      </c>
      <c r="F40" s="12">
        <v>0</v>
      </c>
      <c r="G40" s="12">
        <v>0</v>
      </c>
      <c r="H40" s="12">
        <v>0</v>
      </c>
      <c r="I40" s="12">
        <v>1</v>
      </c>
    </row>
    <row r="41" spans="1:9">
      <c r="A41" s="3" t="s">
        <v>31</v>
      </c>
      <c r="B41" s="5" t="s">
        <v>20</v>
      </c>
      <c r="C41" s="5" t="s">
        <v>28</v>
      </c>
      <c r="D41" s="12">
        <v>0</v>
      </c>
      <c r="E41" s="12">
        <v>1</v>
      </c>
      <c r="F41" s="12">
        <v>0</v>
      </c>
      <c r="G41" s="12">
        <v>0</v>
      </c>
      <c r="H41" s="12">
        <v>0</v>
      </c>
      <c r="I41" s="12">
        <v>1</v>
      </c>
    </row>
    <row r="42" spans="1:9">
      <c r="A42" s="3" t="s">
        <v>32</v>
      </c>
      <c r="B42" s="5" t="s">
        <v>15</v>
      </c>
      <c r="C42" s="5" t="s">
        <v>28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1</v>
      </c>
    </row>
    <row r="43" spans="1:9">
      <c r="A43" s="3" t="s">
        <v>32</v>
      </c>
      <c r="B43" s="5" t="s">
        <v>15</v>
      </c>
      <c r="C43" s="5" t="s">
        <v>28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1</v>
      </c>
    </row>
    <row r="44" spans="1:9">
      <c r="A44" s="3" t="s">
        <v>32</v>
      </c>
      <c r="B44" s="5" t="s">
        <v>15</v>
      </c>
      <c r="C44" s="5" t="s">
        <v>28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1</v>
      </c>
    </row>
    <row r="45" spans="1:9">
      <c r="A45" s="3" t="s">
        <v>32</v>
      </c>
      <c r="B45" s="5" t="s">
        <v>15</v>
      </c>
      <c r="C45" s="5" t="s">
        <v>28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1</v>
      </c>
    </row>
    <row r="46" spans="1:9">
      <c r="A46" s="3" t="s">
        <v>33</v>
      </c>
      <c r="B46" s="5" t="s">
        <v>27</v>
      </c>
      <c r="C46" s="5" t="s">
        <v>16</v>
      </c>
      <c r="D46" s="12">
        <v>1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</row>
    <row r="47" spans="1:9">
      <c r="A47" s="3" t="s">
        <v>33</v>
      </c>
      <c r="B47" s="5" t="s">
        <v>27</v>
      </c>
      <c r="C47" s="5" t="s">
        <v>16</v>
      </c>
      <c r="D47" s="12">
        <v>1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 spans="1:9">
      <c r="A48" s="3" t="s">
        <v>33</v>
      </c>
      <c r="B48" s="5" t="s">
        <v>27</v>
      </c>
      <c r="C48" s="5" t="s">
        <v>16</v>
      </c>
      <c r="D48" s="12">
        <v>1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</row>
    <row r="49" spans="1:9">
      <c r="A49" s="3" t="s">
        <v>33</v>
      </c>
      <c r="B49" s="5" t="s">
        <v>27</v>
      </c>
      <c r="C49" s="5" t="s">
        <v>16</v>
      </c>
      <c r="D49" s="12">
        <v>1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 spans="1:9">
      <c r="A50" s="3" t="s">
        <v>34</v>
      </c>
      <c r="B50" s="5" t="s">
        <v>20</v>
      </c>
      <c r="C50" s="5" t="s">
        <v>28</v>
      </c>
      <c r="D50" s="12">
        <v>0</v>
      </c>
      <c r="E50" s="12">
        <v>1</v>
      </c>
      <c r="F50" s="12">
        <v>0</v>
      </c>
      <c r="G50" s="12">
        <v>0</v>
      </c>
      <c r="H50" s="12">
        <v>0</v>
      </c>
      <c r="I50" s="12">
        <v>1</v>
      </c>
    </row>
    <row r="51" spans="1:9">
      <c r="A51" s="3" t="s">
        <v>34</v>
      </c>
      <c r="B51" s="5" t="s">
        <v>20</v>
      </c>
      <c r="C51" s="5" t="s">
        <v>28</v>
      </c>
      <c r="D51" s="12">
        <v>0</v>
      </c>
      <c r="E51" s="12">
        <v>1</v>
      </c>
      <c r="F51" s="12">
        <v>0</v>
      </c>
      <c r="G51" s="12">
        <v>0</v>
      </c>
      <c r="H51" s="12">
        <v>0</v>
      </c>
      <c r="I51" s="12">
        <v>1</v>
      </c>
    </row>
    <row r="52" spans="1:9">
      <c r="A52" s="3" t="s">
        <v>34</v>
      </c>
      <c r="B52" s="5" t="s">
        <v>20</v>
      </c>
      <c r="C52" s="5" t="s">
        <v>28</v>
      </c>
      <c r="D52" s="12">
        <v>0</v>
      </c>
      <c r="E52" s="12">
        <v>1</v>
      </c>
      <c r="F52" s="12">
        <v>0</v>
      </c>
      <c r="G52" s="12">
        <v>0</v>
      </c>
      <c r="H52" s="12">
        <v>0</v>
      </c>
      <c r="I52" s="12">
        <v>1</v>
      </c>
    </row>
    <row r="53" spans="1:9">
      <c r="A53" s="3" t="s">
        <v>34</v>
      </c>
      <c r="B53" s="5" t="s">
        <v>20</v>
      </c>
      <c r="C53" s="5" t="s">
        <v>28</v>
      </c>
      <c r="D53" s="12">
        <v>0</v>
      </c>
      <c r="E53" s="12">
        <v>1</v>
      </c>
      <c r="F53" s="12">
        <v>0</v>
      </c>
      <c r="G53" s="12">
        <v>0</v>
      </c>
      <c r="H53" s="12">
        <v>0</v>
      </c>
      <c r="I53" s="12">
        <v>1</v>
      </c>
    </row>
    <row r="54" spans="1:9">
      <c r="A54" s="3" t="s">
        <v>35</v>
      </c>
      <c r="B54" s="5" t="s">
        <v>27</v>
      </c>
      <c r="C54" s="5" t="s">
        <v>18</v>
      </c>
      <c r="D54" s="12">
        <v>1</v>
      </c>
      <c r="E54" s="12">
        <v>0</v>
      </c>
      <c r="F54" s="12">
        <v>0</v>
      </c>
      <c r="G54" s="12">
        <v>0</v>
      </c>
      <c r="H54" s="12">
        <v>1</v>
      </c>
      <c r="I54" s="12">
        <v>0</v>
      </c>
    </row>
    <row r="55" spans="1:9">
      <c r="A55" s="3" t="s">
        <v>35</v>
      </c>
      <c r="B55" s="5" t="s">
        <v>27</v>
      </c>
      <c r="C55" s="5" t="s">
        <v>18</v>
      </c>
      <c r="D55" s="12">
        <v>1</v>
      </c>
      <c r="E55" s="12">
        <v>0</v>
      </c>
      <c r="F55" s="12">
        <v>0</v>
      </c>
      <c r="G55" s="12">
        <v>0</v>
      </c>
      <c r="H55" s="12">
        <v>1</v>
      </c>
      <c r="I55" s="12">
        <v>0</v>
      </c>
    </row>
    <row r="56" spans="1:9">
      <c r="A56" s="3" t="s">
        <v>35</v>
      </c>
      <c r="B56" s="5" t="s">
        <v>27</v>
      </c>
      <c r="C56" s="5" t="s">
        <v>18</v>
      </c>
      <c r="D56" s="12">
        <v>1</v>
      </c>
      <c r="E56" s="12">
        <v>0</v>
      </c>
      <c r="F56" s="12">
        <v>0</v>
      </c>
      <c r="G56" s="12">
        <v>0</v>
      </c>
      <c r="H56" s="12">
        <v>1</v>
      </c>
      <c r="I56" s="12">
        <v>0</v>
      </c>
    </row>
    <row r="57" spans="1:9">
      <c r="A57" s="3" t="s">
        <v>35</v>
      </c>
      <c r="B57" s="5" t="s">
        <v>27</v>
      </c>
      <c r="C57" s="5" t="s">
        <v>18</v>
      </c>
      <c r="D57" s="12">
        <v>1</v>
      </c>
      <c r="E57" s="12">
        <v>0</v>
      </c>
      <c r="F57" s="12">
        <v>0</v>
      </c>
      <c r="G57" s="12">
        <v>0</v>
      </c>
      <c r="H57" s="12">
        <v>1</v>
      </c>
      <c r="I57" s="12">
        <v>0</v>
      </c>
    </row>
    <row r="58" spans="1:9">
      <c r="A58" s="3" t="s">
        <v>36</v>
      </c>
      <c r="B58" s="5" t="s">
        <v>15</v>
      </c>
      <c r="C58" s="5" t="s">
        <v>21</v>
      </c>
      <c r="D58" s="12">
        <v>0</v>
      </c>
      <c r="E58" s="12">
        <v>0</v>
      </c>
      <c r="F58" s="12">
        <v>0</v>
      </c>
      <c r="G58" s="12">
        <v>1</v>
      </c>
      <c r="H58" s="12">
        <v>0</v>
      </c>
      <c r="I58" s="12">
        <v>0</v>
      </c>
    </row>
    <row r="59" spans="1:9">
      <c r="A59" s="3" t="s">
        <v>36</v>
      </c>
      <c r="B59" s="5" t="s">
        <v>15</v>
      </c>
      <c r="C59" s="5" t="s">
        <v>21</v>
      </c>
      <c r="D59" s="12">
        <v>0</v>
      </c>
      <c r="E59" s="12">
        <v>0</v>
      </c>
      <c r="F59" s="12">
        <v>0</v>
      </c>
      <c r="G59" s="12">
        <v>1</v>
      </c>
      <c r="H59" s="12">
        <v>0</v>
      </c>
      <c r="I59" s="12">
        <v>0</v>
      </c>
    </row>
    <row r="60" spans="1:9">
      <c r="A60" s="3" t="s">
        <v>36</v>
      </c>
      <c r="B60" s="5" t="s">
        <v>15</v>
      </c>
      <c r="C60" s="5" t="s">
        <v>21</v>
      </c>
      <c r="D60" s="12">
        <v>0</v>
      </c>
      <c r="E60" s="12">
        <v>0</v>
      </c>
      <c r="F60" s="12">
        <v>0</v>
      </c>
      <c r="G60" s="12">
        <v>1</v>
      </c>
      <c r="H60" s="12">
        <v>0</v>
      </c>
      <c r="I60" s="12">
        <v>0</v>
      </c>
    </row>
    <row r="61" spans="1:9">
      <c r="A61" s="3" t="s">
        <v>36</v>
      </c>
      <c r="B61" s="5" t="s">
        <v>15</v>
      </c>
      <c r="C61" s="5" t="s">
        <v>21</v>
      </c>
      <c r="D61" s="12">
        <v>0</v>
      </c>
      <c r="E61" s="12">
        <v>0</v>
      </c>
      <c r="F61" s="12">
        <v>0</v>
      </c>
      <c r="G61" s="12">
        <v>1</v>
      </c>
      <c r="H61" s="12">
        <v>0</v>
      </c>
      <c r="I61" s="12">
        <v>0</v>
      </c>
    </row>
    <row r="62" spans="1:9">
      <c r="A62" s="3" t="s">
        <v>37</v>
      </c>
      <c r="B62" s="5" t="s">
        <v>24</v>
      </c>
      <c r="C62" s="5" t="s">
        <v>18</v>
      </c>
      <c r="D62" s="12">
        <v>0</v>
      </c>
      <c r="E62" s="12">
        <v>0</v>
      </c>
      <c r="F62" s="12">
        <v>1</v>
      </c>
      <c r="G62" s="12">
        <v>0</v>
      </c>
      <c r="H62" s="12">
        <v>1</v>
      </c>
      <c r="I62" s="12">
        <v>0</v>
      </c>
    </row>
    <row r="63" spans="1:9">
      <c r="A63" s="3" t="s">
        <v>37</v>
      </c>
      <c r="B63" s="5" t="s">
        <v>24</v>
      </c>
      <c r="C63" s="5" t="s">
        <v>18</v>
      </c>
      <c r="D63" s="12">
        <v>0</v>
      </c>
      <c r="E63" s="12">
        <v>0</v>
      </c>
      <c r="F63" s="12">
        <v>1</v>
      </c>
      <c r="G63" s="12">
        <v>0</v>
      </c>
      <c r="H63" s="12">
        <v>1</v>
      </c>
      <c r="I63" s="12">
        <v>0</v>
      </c>
    </row>
    <row r="64" spans="1:9">
      <c r="A64" s="3" t="s">
        <v>37</v>
      </c>
      <c r="B64" s="5" t="s">
        <v>24</v>
      </c>
      <c r="C64" s="5" t="s">
        <v>18</v>
      </c>
      <c r="D64" s="12">
        <v>0</v>
      </c>
      <c r="E64" s="12">
        <v>0</v>
      </c>
      <c r="F64" s="12">
        <v>1</v>
      </c>
      <c r="G64" s="12">
        <v>0</v>
      </c>
      <c r="H64" s="12">
        <v>1</v>
      </c>
      <c r="I64" s="12">
        <v>0</v>
      </c>
    </row>
    <row r="65" spans="1:9">
      <c r="A65" s="3" t="s">
        <v>37</v>
      </c>
      <c r="B65" s="5" t="s">
        <v>24</v>
      </c>
      <c r="C65" s="5" t="s">
        <v>18</v>
      </c>
      <c r="D65" s="12">
        <v>0</v>
      </c>
      <c r="E65" s="12">
        <v>0</v>
      </c>
      <c r="F65" s="12">
        <v>1</v>
      </c>
      <c r="G65" s="12">
        <v>0</v>
      </c>
      <c r="H65" s="12">
        <v>1</v>
      </c>
      <c r="I65" s="12">
        <v>0</v>
      </c>
    </row>
    <row r="66" spans="1:9">
      <c r="A66" s="3" t="s">
        <v>38</v>
      </c>
      <c r="B66" s="5" t="s">
        <v>27</v>
      </c>
      <c r="C66" s="5" t="s">
        <v>18</v>
      </c>
      <c r="D66" s="12">
        <v>1</v>
      </c>
      <c r="E66" s="12">
        <v>0</v>
      </c>
      <c r="F66" s="12">
        <v>0</v>
      </c>
      <c r="G66" s="12">
        <v>0</v>
      </c>
      <c r="H66" s="12">
        <v>1</v>
      </c>
      <c r="I66" s="12">
        <v>0</v>
      </c>
    </row>
    <row r="67" spans="1:9">
      <c r="A67" s="3" t="s">
        <v>38</v>
      </c>
      <c r="B67" s="5" t="s">
        <v>27</v>
      </c>
      <c r="C67" s="5" t="s">
        <v>18</v>
      </c>
      <c r="D67" s="12">
        <v>1</v>
      </c>
      <c r="E67" s="12">
        <v>0</v>
      </c>
      <c r="F67" s="12">
        <v>0</v>
      </c>
      <c r="G67" s="12">
        <v>0</v>
      </c>
      <c r="H67" s="12">
        <v>1</v>
      </c>
      <c r="I67" s="12">
        <v>0</v>
      </c>
    </row>
    <row r="68" spans="1:9">
      <c r="A68" s="3" t="s">
        <v>38</v>
      </c>
      <c r="B68" s="5" t="s">
        <v>27</v>
      </c>
      <c r="C68" s="5" t="s">
        <v>18</v>
      </c>
      <c r="D68" s="12">
        <v>1</v>
      </c>
      <c r="E68" s="12">
        <v>0</v>
      </c>
      <c r="F68" s="12">
        <v>0</v>
      </c>
      <c r="G68" s="12">
        <v>0</v>
      </c>
      <c r="H68" s="12">
        <v>1</v>
      </c>
      <c r="I68" s="12">
        <v>0</v>
      </c>
    </row>
    <row r="69" spans="1:9">
      <c r="A69" s="3" t="s">
        <v>38</v>
      </c>
      <c r="B69" s="5" t="s">
        <v>27</v>
      </c>
      <c r="C69" s="5" t="s">
        <v>18</v>
      </c>
      <c r="D69" s="12">
        <v>1</v>
      </c>
      <c r="E69" s="12">
        <v>0</v>
      </c>
      <c r="F69" s="12">
        <v>0</v>
      </c>
      <c r="G69" s="12">
        <v>0</v>
      </c>
      <c r="H69" s="12">
        <v>1</v>
      </c>
      <c r="I69" s="12">
        <v>0</v>
      </c>
    </row>
    <row r="70" spans="1:9">
      <c r="A70" s="3" t="s">
        <v>39</v>
      </c>
      <c r="B70" s="5" t="s">
        <v>15</v>
      </c>
      <c r="C70" s="5" t="s">
        <v>18</v>
      </c>
      <c r="D70" s="12">
        <v>0</v>
      </c>
      <c r="E70" s="12">
        <v>0</v>
      </c>
      <c r="F70" s="12">
        <v>0</v>
      </c>
      <c r="G70" s="12">
        <v>0</v>
      </c>
      <c r="H70" s="12">
        <v>1</v>
      </c>
      <c r="I70" s="12">
        <v>0</v>
      </c>
    </row>
    <row r="71" spans="1:9">
      <c r="A71" s="3" t="s">
        <v>39</v>
      </c>
      <c r="B71" s="5" t="s">
        <v>15</v>
      </c>
      <c r="C71" s="5" t="s">
        <v>18</v>
      </c>
      <c r="D71" s="12">
        <v>0</v>
      </c>
      <c r="E71" s="12">
        <v>0</v>
      </c>
      <c r="F71" s="12">
        <v>0</v>
      </c>
      <c r="G71" s="12">
        <v>0</v>
      </c>
      <c r="H71" s="12">
        <v>1</v>
      </c>
      <c r="I71" s="12">
        <v>0</v>
      </c>
    </row>
    <row r="72" spans="1:9">
      <c r="A72" s="3" t="s">
        <v>39</v>
      </c>
      <c r="B72" s="5" t="s">
        <v>15</v>
      </c>
      <c r="C72" s="5" t="s">
        <v>18</v>
      </c>
      <c r="D72" s="12">
        <v>0</v>
      </c>
      <c r="E72" s="12">
        <v>0</v>
      </c>
      <c r="F72" s="12">
        <v>0</v>
      </c>
      <c r="G72" s="12">
        <v>0</v>
      </c>
      <c r="H72" s="12">
        <v>1</v>
      </c>
      <c r="I72" s="12">
        <v>0</v>
      </c>
    </row>
    <row r="73" spans="1:9">
      <c r="A73" s="3" t="s">
        <v>39</v>
      </c>
      <c r="B73" s="5" t="s">
        <v>15</v>
      </c>
      <c r="C73" s="5" t="s">
        <v>18</v>
      </c>
      <c r="D73" s="12">
        <v>0</v>
      </c>
      <c r="E73" s="12">
        <v>0</v>
      </c>
      <c r="F73" s="12">
        <v>0</v>
      </c>
      <c r="G73" s="12">
        <v>0</v>
      </c>
      <c r="H73" s="12">
        <v>1</v>
      </c>
      <c r="I73" s="12">
        <v>0</v>
      </c>
    </row>
    <row r="74" spans="1:9">
      <c r="A74" s="3" t="s">
        <v>40</v>
      </c>
      <c r="B74" s="5" t="s">
        <v>15</v>
      </c>
      <c r="C74" s="5" t="s">
        <v>16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</row>
    <row r="75" spans="1:9">
      <c r="A75" s="3" t="s">
        <v>40</v>
      </c>
      <c r="B75" s="5" t="s">
        <v>15</v>
      </c>
      <c r="C75" s="5" t="s">
        <v>16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 spans="1:9">
      <c r="A76" s="3" t="s">
        <v>40</v>
      </c>
      <c r="B76" s="5" t="s">
        <v>15</v>
      </c>
      <c r="C76" s="5" t="s">
        <v>16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</row>
    <row r="77" spans="1:9">
      <c r="A77" s="3" t="s">
        <v>40</v>
      </c>
      <c r="B77" s="5" t="s">
        <v>15</v>
      </c>
      <c r="C77" s="5" t="s">
        <v>16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 spans="1:9">
      <c r="A78" s="3" t="s">
        <v>41</v>
      </c>
      <c r="B78" s="5" t="s">
        <v>24</v>
      </c>
      <c r="C78" s="5" t="s">
        <v>18</v>
      </c>
      <c r="D78" s="12">
        <v>0</v>
      </c>
      <c r="E78" s="12">
        <v>0</v>
      </c>
      <c r="F78" s="12">
        <v>1</v>
      </c>
      <c r="G78" s="12">
        <v>0</v>
      </c>
      <c r="H78" s="12">
        <v>1</v>
      </c>
      <c r="I78" s="12">
        <v>0</v>
      </c>
    </row>
    <row r="79" spans="1:9">
      <c r="A79" s="3" t="s">
        <v>41</v>
      </c>
      <c r="B79" s="5" t="s">
        <v>24</v>
      </c>
      <c r="C79" s="5" t="s">
        <v>18</v>
      </c>
      <c r="D79" s="12">
        <v>0</v>
      </c>
      <c r="E79" s="12">
        <v>0</v>
      </c>
      <c r="F79" s="12">
        <v>1</v>
      </c>
      <c r="G79" s="12">
        <v>0</v>
      </c>
      <c r="H79" s="12">
        <v>1</v>
      </c>
      <c r="I79" s="12">
        <v>0</v>
      </c>
    </row>
    <row r="80" spans="1:9">
      <c r="A80" s="3" t="s">
        <v>41</v>
      </c>
      <c r="B80" s="5" t="s">
        <v>24</v>
      </c>
      <c r="C80" s="5" t="s">
        <v>18</v>
      </c>
      <c r="D80" s="12">
        <v>0</v>
      </c>
      <c r="E80" s="12">
        <v>0</v>
      </c>
      <c r="F80" s="12">
        <v>1</v>
      </c>
      <c r="G80" s="12">
        <v>0</v>
      </c>
      <c r="H80" s="12">
        <v>1</v>
      </c>
      <c r="I80" s="12">
        <v>0</v>
      </c>
    </row>
    <row r="81" spans="1:9">
      <c r="A81" s="3" t="s">
        <v>41</v>
      </c>
      <c r="B81" s="5" t="s">
        <v>24</v>
      </c>
      <c r="C81" s="5" t="s">
        <v>18</v>
      </c>
      <c r="D81" s="12">
        <v>0</v>
      </c>
      <c r="E81" s="12">
        <v>0</v>
      </c>
      <c r="F81" s="12">
        <v>1</v>
      </c>
      <c r="G81" s="12">
        <v>0</v>
      </c>
      <c r="H81" s="12">
        <v>1</v>
      </c>
      <c r="I81" s="12">
        <v>0</v>
      </c>
    </row>
    <row r="82" spans="1:9">
      <c r="A82" s="3" t="s">
        <v>42</v>
      </c>
      <c r="B82" s="5" t="s">
        <v>27</v>
      </c>
      <c r="C82" s="5" t="s">
        <v>28</v>
      </c>
      <c r="D82" s="12">
        <v>1</v>
      </c>
      <c r="E82" s="12">
        <v>0</v>
      </c>
      <c r="F82" s="12">
        <v>0</v>
      </c>
      <c r="G82" s="12">
        <v>0</v>
      </c>
      <c r="H82" s="12">
        <v>0</v>
      </c>
      <c r="I82" s="12">
        <v>1</v>
      </c>
    </row>
    <row r="83" spans="1:9">
      <c r="A83" s="3" t="s">
        <v>42</v>
      </c>
      <c r="B83" s="5" t="s">
        <v>27</v>
      </c>
      <c r="C83" s="5" t="s">
        <v>28</v>
      </c>
      <c r="D83" s="12">
        <v>1</v>
      </c>
      <c r="E83" s="12">
        <v>0</v>
      </c>
      <c r="F83" s="12">
        <v>0</v>
      </c>
      <c r="G83" s="12">
        <v>0</v>
      </c>
      <c r="H83" s="12">
        <v>0</v>
      </c>
      <c r="I83" s="12">
        <v>1</v>
      </c>
    </row>
    <row r="84" spans="1:9">
      <c r="A84" s="3" t="s">
        <v>42</v>
      </c>
      <c r="B84" s="5" t="s">
        <v>27</v>
      </c>
      <c r="C84" s="5" t="s">
        <v>28</v>
      </c>
      <c r="D84" s="12">
        <v>1</v>
      </c>
      <c r="E84" s="12">
        <v>0</v>
      </c>
      <c r="F84" s="12">
        <v>0</v>
      </c>
      <c r="G84" s="12">
        <v>0</v>
      </c>
      <c r="H84" s="12">
        <v>0</v>
      </c>
      <c r="I84" s="12">
        <v>1</v>
      </c>
    </row>
    <row r="85" spans="1:9">
      <c r="A85" s="3" t="s">
        <v>42</v>
      </c>
      <c r="B85" s="5" t="s">
        <v>27</v>
      </c>
      <c r="C85" s="5" t="s">
        <v>28</v>
      </c>
      <c r="D85" s="12">
        <v>1</v>
      </c>
      <c r="E85" s="12">
        <v>0</v>
      </c>
      <c r="F85" s="12">
        <v>0</v>
      </c>
      <c r="G85" s="12">
        <v>0</v>
      </c>
      <c r="H85" s="12">
        <v>0</v>
      </c>
      <c r="I85" s="12">
        <v>1</v>
      </c>
    </row>
    <row r="86" spans="1:9">
      <c r="A86" s="3" t="s">
        <v>43</v>
      </c>
      <c r="B86" s="5" t="s">
        <v>27</v>
      </c>
      <c r="C86" s="5" t="s">
        <v>18</v>
      </c>
      <c r="D86" s="12">
        <v>1</v>
      </c>
      <c r="E86" s="12">
        <v>0</v>
      </c>
      <c r="F86" s="12">
        <v>0</v>
      </c>
      <c r="G86" s="12">
        <v>0</v>
      </c>
      <c r="H86" s="12">
        <v>1</v>
      </c>
      <c r="I86" s="12">
        <v>0</v>
      </c>
    </row>
    <row r="87" spans="1:9">
      <c r="A87" s="3" t="s">
        <v>43</v>
      </c>
      <c r="B87" s="5" t="s">
        <v>27</v>
      </c>
      <c r="C87" s="5" t="s">
        <v>18</v>
      </c>
      <c r="D87" s="12">
        <v>1</v>
      </c>
      <c r="E87" s="12">
        <v>0</v>
      </c>
      <c r="F87" s="12">
        <v>0</v>
      </c>
      <c r="G87" s="12">
        <v>0</v>
      </c>
      <c r="H87" s="12">
        <v>1</v>
      </c>
      <c r="I87" s="12">
        <v>0</v>
      </c>
    </row>
    <row r="88" spans="1:9">
      <c r="A88" s="3" t="s">
        <v>43</v>
      </c>
      <c r="B88" s="5" t="s">
        <v>27</v>
      </c>
      <c r="C88" s="5" t="s">
        <v>18</v>
      </c>
      <c r="D88" s="12">
        <v>1</v>
      </c>
      <c r="E88" s="12">
        <v>0</v>
      </c>
      <c r="F88" s="12">
        <v>0</v>
      </c>
      <c r="G88" s="12">
        <v>0</v>
      </c>
      <c r="H88" s="12">
        <v>1</v>
      </c>
      <c r="I88" s="12">
        <v>0</v>
      </c>
    </row>
    <row r="89" spans="1:9">
      <c r="A89" s="3" t="s">
        <v>43</v>
      </c>
      <c r="B89" s="5" t="s">
        <v>27</v>
      </c>
      <c r="C89" s="5" t="s">
        <v>18</v>
      </c>
      <c r="D89" s="12">
        <v>1</v>
      </c>
      <c r="E89" s="12">
        <v>0</v>
      </c>
      <c r="F89" s="12">
        <v>0</v>
      </c>
      <c r="G89" s="12">
        <v>0</v>
      </c>
      <c r="H89" s="12">
        <v>1</v>
      </c>
      <c r="I89" s="12">
        <v>0</v>
      </c>
    </row>
    <row r="90" spans="1:9">
      <c r="A90" s="3" t="s">
        <v>44</v>
      </c>
      <c r="B90" s="5" t="s">
        <v>24</v>
      </c>
      <c r="C90" s="5" t="s">
        <v>28</v>
      </c>
      <c r="D90" s="12">
        <v>0</v>
      </c>
      <c r="E90" s="12">
        <v>0</v>
      </c>
      <c r="F90" s="12">
        <v>1</v>
      </c>
      <c r="G90" s="12">
        <v>0</v>
      </c>
      <c r="H90" s="12">
        <v>0</v>
      </c>
      <c r="I90" s="12">
        <v>1</v>
      </c>
    </row>
    <row r="91" spans="1:9">
      <c r="A91" s="3" t="s">
        <v>44</v>
      </c>
      <c r="B91" s="5" t="s">
        <v>24</v>
      </c>
      <c r="C91" s="5" t="s">
        <v>28</v>
      </c>
      <c r="D91" s="12">
        <v>0</v>
      </c>
      <c r="E91" s="12">
        <v>0</v>
      </c>
      <c r="F91" s="12">
        <v>1</v>
      </c>
      <c r="G91" s="12">
        <v>0</v>
      </c>
      <c r="H91" s="12">
        <v>0</v>
      </c>
      <c r="I91" s="12">
        <v>1</v>
      </c>
    </row>
    <row r="92" spans="1:9">
      <c r="A92" s="3" t="s">
        <v>44</v>
      </c>
      <c r="B92" s="5" t="s">
        <v>24</v>
      </c>
      <c r="C92" s="5" t="s">
        <v>28</v>
      </c>
      <c r="D92" s="12">
        <v>0</v>
      </c>
      <c r="E92" s="12">
        <v>0</v>
      </c>
      <c r="F92" s="12">
        <v>1</v>
      </c>
      <c r="G92" s="12">
        <v>0</v>
      </c>
      <c r="H92" s="12">
        <v>0</v>
      </c>
      <c r="I92" s="12">
        <v>1</v>
      </c>
    </row>
    <row r="93" spans="1:9">
      <c r="A93" s="3" t="s">
        <v>44</v>
      </c>
      <c r="B93" s="5" t="s">
        <v>24</v>
      </c>
      <c r="C93" s="5" t="s">
        <v>28</v>
      </c>
      <c r="D93" s="12">
        <v>0</v>
      </c>
      <c r="E93" s="12">
        <v>0</v>
      </c>
      <c r="F93" s="12">
        <v>1</v>
      </c>
      <c r="G93" s="12">
        <v>0</v>
      </c>
      <c r="H93" s="12">
        <v>0</v>
      </c>
      <c r="I93" s="12">
        <v>1</v>
      </c>
    </row>
    <row r="94" spans="1:9">
      <c r="A94" s="3" t="s">
        <v>45</v>
      </c>
      <c r="B94" s="5" t="s">
        <v>27</v>
      </c>
      <c r="C94" s="5" t="s">
        <v>16</v>
      </c>
      <c r="D94" s="12">
        <v>1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</row>
    <row r="95" spans="1:9">
      <c r="A95" s="3" t="s">
        <v>45</v>
      </c>
      <c r="B95" s="5" t="s">
        <v>27</v>
      </c>
      <c r="C95" s="5" t="s">
        <v>16</v>
      </c>
      <c r="D95" s="12">
        <v>1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 spans="1:9">
      <c r="A96" s="3" t="s">
        <v>45</v>
      </c>
      <c r="B96" s="5" t="s">
        <v>27</v>
      </c>
      <c r="C96" s="5" t="s">
        <v>16</v>
      </c>
      <c r="D96" s="12">
        <v>1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</row>
    <row r="97" spans="1:9">
      <c r="A97" s="3" t="s">
        <v>45</v>
      </c>
      <c r="B97" s="5" t="s">
        <v>27</v>
      </c>
      <c r="C97" s="5" t="s">
        <v>16</v>
      </c>
      <c r="D97" s="12">
        <v>1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 spans="1:9">
      <c r="A98" s="3" t="s">
        <v>46</v>
      </c>
      <c r="B98" s="5" t="s">
        <v>27</v>
      </c>
      <c r="C98" s="5" t="s">
        <v>28</v>
      </c>
      <c r="D98" s="12">
        <v>1</v>
      </c>
      <c r="E98" s="12">
        <v>0</v>
      </c>
      <c r="F98" s="12">
        <v>0</v>
      </c>
      <c r="G98" s="12">
        <v>0</v>
      </c>
      <c r="H98" s="12">
        <v>0</v>
      </c>
      <c r="I98" s="12">
        <v>1</v>
      </c>
    </row>
    <row r="99" spans="1:9">
      <c r="A99" s="3" t="s">
        <v>46</v>
      </c>
      <c r="B99" s="5" t="s">
        <v>27</v>
      </c>
      <c r="C99" s="5" t="s">
        <v>28</v>
      </c>
      <c r="D99" s="12">
        <v>1</v>
      </c>
      <c r="E99" s="12">
        <v>0</v>
      </c>
      <c r="F99" s="12">
        <v>0</v>
      </c>
      <c r="G99" s="12">
        <v>0</v>
      </c>
      <c r="H99" s="12">
        <v>0</v>
      </c>
      <c r="I99" s="12">
        <v>1</v>
      </c>
    </row>
    <row r="100" spans="1:9">
      <c r="A100" s="3" t="s">
        <v>46</v>
      </c>
      <c r="B100" s="5" t="s">
        <v>27</v>
      </c>
      <c r="C100" s="5" t="s">
        <v>28</v>
      </c>
      <c r="D100" s="12">
        <v>1</v>
      </c>
      <c r="E100" s="12">
        <v>0</v>
      </c>
      <c r="F100" s="12">
        <v>0</v>
      </c>
      <c r="G100" s="12">
        <v>0</v>
      </c>
      <c r="H100" s="12">
        <v>0</v>
      </c>
      <c r="I100" s="12">
        <v>1</v>
      </c>
    </row>
    <row r="101" spans="1:9">
      <c r="A101" s="3" t="s">
        <v>46</v>
      </c>
      <c r="B101" s="5" t="s">
        <v>27</v>
      </c>
      <c r="C101" s="5" t="s">
        <v>28</v>
      </c>
      <c r="D101" s="12">
        <v>1</v>
      </c>
      <c r="E101" s="12">
        <v>0</v>
      </c>
      <c r="F101" s="12">
        <v>0</v>
      </c>
      <c r="G101" s="12">
        <v>0</v>
      </c>
      <c r="H101" s="12">
        <v>0</v>
      </c>
      <c r="I101" s="12">
        <v>1</v>
      </c>
    </row>
    <row r="102" spans="1:9">
      <c r="A102" s="3" t="s">
        <v>47</v>
      </c>
      <c r="B102" s="5" t="s">
        <v>15</v>
      </c>
      <c r="C102" s="5" t="s">
        <v>28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1</v>
      </c>
    </row>
    <row r="103" spans="1:9">
      <c r="A103" s="3" t="s">
        <v>47</v>
      </c>
      <c r="B103" s="5" t="s">
        <v>15</v>
      </c>
      <c r="C103" s="5" t="s">
        <v>28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1</v>
      </c>
    </row>
    <row r="104" spans="1:9">
      <c r="A104" s="3" t="s">
        <v>47</v>
      </c>
      <c r="B104" s="5" t="s">
        <v>15</v>
      </c>
      <c r="C104" s="5" t="s">
        <v>28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1</v>
      </c>
    </row>
    <row r="105" spans="1:9">
      <c r="A105" s="3" t="s">
        <v>47</v>
      </c>
      <c r="B105" s="5" t="s">
        <v>15</v>
      </c>
      <c r="C105" s="5" t="s">
        <v>28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1</v>
      </c>
    </row>
    <row r="106" spans="1:9">
      <c r="A106" s="3" t="s">
        <v>48</v>
      </c>
      <c r="B106" s="5" t="s">
        <v>27</v>
      </c>
      <c r="C106" s="5" t="s">
        <v>18</v>
      </c>
      <c r="D106" s="12">
        <v>1</v>
      </c>
      <c r="E106" s="12">
        <v>0</v>
      </c>
      <c r="F106" s="12">
        <v>0</v>
      </c>
      <c r="G106" s="12">
        <v>0</v>
      </c>
      <c r="H106" s="12">
        <v>1</v>
      </c>
      <c r="I106" s="12">
        <v>0</v>
      </c>
    </row>
    <row r="107" spans="1:9">
      <c r="A107" s="3" t="s">
        <v>48</v>
      </c>
      <c r="B107" s="5" t="s">
        <v>27</v>
      </c>
      <c r="C107" s="5" t="s">
        <v>18</v>
      </c>
      <c r="D107" s="12">
        <v>1</v>
      </c>
      <c r="E107" s="12">
        <v>0</v>
      </c>
      <c r="F107" s="12">
        <v>0</v>
      </c>
      <c r="G107" s="12">
        <v>0</v>
      </c>
      <c r="H107" s="12">
        <v>1</v>
      </c>
      <c r="I107" s="12">
        <v>0</v>
      </c>
    </row>
    <row r="108" spans="1:9">
      <c r="A108" s="3" t="s">
        <v>48</v>
      </c>
      <c r="B108" s="5" t="s">
        <v>27</v>
      </c>
      <c r="C108" s="5" t="s">
        <v>18</v>
      </c>
      <c r="D108" s="12">
        <v>1</v>
      </c>
      <c r="E108" s="12">
        <v>0</v>
      </c>
      <c r="F108" s="12">
        <v>0</v>
      </c>
      <c r="G108" s="12">
        <v>0</v>
      </c>
      <c r="H108" s="12">
        <v>1</v>
      </c>
      <c r="I108" s="12">
        <v>0</v>
      </c>
    </row>
    <row r="109" spans="1:9">
      <c r="A109" s="3" t="s">
        <v>48</v>
      </c>
      <c r="B109" s="5" t="s">
        <v>27</v>
      </c>
      <c r="C109" s="5" t="s">
        <v>18</v>
      </c>
      <c r="D109" s="12">
        <v>1</v>
      </c>
      <c r="E109" s="12">
        <v>0</v>
      </c>
      <c r="F109" s="12">
        <v>0</v>
      </c>
      <c r="G109" s="12">
        <v>0</v>
      </c>
      <c r="H109" s="12">
        <v>1</v>
      </c>
      <c r="I109" s="12">
        <v>0</v>
      </c>
    </row>
    <row r="110" spans="1:9">
      <c r="A110" s="3" t="s">
        <v>49</v>
      </c>
      <c r="B110" s="5" t="s">
        <v>15</v>
      </c>
      <c r="C110" s="5" t="s">
        <v>28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1</v>
      </c>
    </row>
    <row r="111" spans="1:9">
      <c r="A111" s="3" t="s">
        <v>49</v>
      </c>
      <c r="B111" s="5" t="s">
        <v>15</v>
      </c>
      <c r="C111" s="5" t="s">
        <v>28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1</v>
      </c>
    </row>
    <row r="112" spans="1:9">
      <c r="A112" s="3" t="s">
        <v>49</v>
      </c>
      <c r="B112" s="5" t="s">
        <v>15</v>
      </c>
      <c r="C112" s="5" t="s">
        <v>28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1</v>
      </c>
    </row>
    <row r="113" spans="1:9">
      <c r="A113" s="3" t="s">
        <v>49</v>
      </c>
      <c r="B113" s="5" t="s">
        <v>15</v>
      </c>
      <c r="C113" s="5" t="s">
        <v>28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1</v>
      </c>
    </row>
    <row r="114" spans="1:9">
      <c r="A114" s="3" t="s">
        <v>50</v>
      </c>
      <c r="B114" s="5" t="s">
        <v>27</v>
      </c>
      <c r="C114" s="5" t="s">
        <v>28</v>
      </c>
      <c r="D114" s="12">
        <v>1</v>
      </c>
      <c r="E114" s="12">
        <v>0</v>
      </c>
      <c r="F114" s="12">
        <v>0</v>
      </c>
      <c r="G114" s="12">
        <v>0</v>
      </c>
      <c r="H114" s="12">
        <v>0</v>
      </c>
      <c r="I114" s="12">
        <v>1</v>
      </c>
    </row>
    <row r="115" spans="1:9">
      <c r="A115" s="3" t="s">
        <v>50</v>
      </c>
      <c r="B115" s="5" t="s">
        <v>27</v>
      </c>
      <c r="C115" s="5" t="s">
        <v>28</v>
      </c>
      <c r="D115" s="12">
        <v>1</v>
      </c>
      <c r="E115" s="12">
        <v>0</v>
      </c>
      <c r="F115" s="12">
        <v>0</v>
      </c>
      <c r="G115" s="12">
        <v>0</v>
      </c>
      <c r="H115" s="12">
        <v>0</v>
      </c>
      <c r="I115" s="12">
        <v>1</v>
      </c>
    </row>
    <row r="116" spans="1:9">
      <c r="A116" s="3" t="s">
        <v>50</v>
      </c>
      <c r="B116" s="5" t="s">
        <v>27</v>
      </c>
      <c r="C116" s="5" t="s">
        <v>28</v>
      </c>
      <c r="D116" s="12">
        <v>1</v>
      </c>
      <c r="E116" s="12">
        <v>0</v>
      </c>
      <c r="F116" s="12">
        <v>0</v>
      </c>
      <c r="G116" s="12">
        <v>0</v>
      </c>
      <c r="H116" s="12">
        <v>0</v>
      </c>
      <c r="I116" s="12">
        <v>1</v>
      </c>
    </row>
    <row r="117" spans="1:9">
      <c r="A117" s="3" t="s">
        <v>50</v>
      </c>
      <c r="B117" s="5" t="s">
        <v>27</v>
      </c>
      <c r="C117" s="5" t="s">
        <v>28</v>
      </c>
      <c r="D117" s="12">
        <v>1</v>
      </c>
      <c r="E117" s="12">
        <v>0</v>
      </c>
      <c r="F117" s="12">
        <v>0</v>
      </c>
      <c r="G117" s="12">
        <v>0</v>
      </c>
      <c r="H117" s="12">
        <v>0</v>
      </c>
      <c r="I117" s="12">
        <v>1</v>
      </c>
    </row>
    <row r="118" spans="1:9">
      <c r="A118" s="3" t="s">
        <v>51</v>
      </c>
      <c r="B118" s="5" t="s">
        <v>27</v>
      </c>
      <c r="C118" s="5" t="s">
        <v>16</v>
      </c>
      <c r="D118" s="12">
        <v>1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</row>
    <row r="119" spans="1:9">
      <c r="A119" s="3" t="s">
        <v>51</v>
      </c>
      <c r="B119" s="5" t="s">
        <v>27</v>
      </c>
      <c r="C119" s="5" t="s">
        <v>16</v>
      </c>
      <c r="D119" s="12">
        <v>1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</row>
    <row r="120" spans="1:9">
      <c r="A120" s="3" t="s">
        <v>51</v>
      </c>
      <c r="B120" s="5" t="s">
        <v>27</v>
      </c>
      <c r="C120" s="5" t="s">
        <v>16</v>
      </c>
      <c r="D120" s="12">
        <v>1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</row>
    <row r="121" spans="1:9">
      <c r="A121" s="3" t="s">
        <v>51</v>
      </c>
      <c r="B121" s="5" t="s">
        <v>27</v>
      </c>
      <c r="C121" s="5" t="s">
        <v>16</v>
      </c>
      <c r="D121" s="12">
        <v>1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 spans="1:9">
      <c r="A122" s="3" t="s">
        <v>52</v>
      </c>
      <c r="B122" s="5" t="s">
        <v>20</v>
      </c>
      <c r="C122" s="5" t="s">
        <v>18</v>
      </c>
      <c r="D122" s="12">
        <v>0</v>
      </c>
      <c r="E122" s="12">
        <v>1</v>
      </c>
      <c r="F122" s="12">
        <v>0</v>
      </c>
      <c r="G122" s="12">
        <v>0</v>
      </c>
      <c r="H122" s="12">
        <v>1</v>
      </c>
      <c r="I122" s="12">
        <v>0</v>
      </c>
    </row>
    <row r="123" spans="1:9">
      <c r="A123" s="3" t="s">
        <v>52</v>
      </c>
      <c r="B123" s="5" t="s">
        <v>20</v>
      </c>
      <c r="C123" s="5" t="s">
        <v>18</v>
      </c>
      <c r="D123" s="12">
        <v>0</v>
      </c>
      <c r="E123" s="12">
        <v>1</v>
      </c>
      <c r="F123" s="12">
        <v>0</v>
      </c>
      <c r="G123" s="12">
        <v>0</v>
      </c>
      <c r="H123" s="12">
        <v>1</v>
      </c>
      <c r="I123" s="12">
        <v>0</v>
      </c>
    </row>
    <row r="124" spans="1:9">
      <c r="A124" s="3" t="s">
        <v>52</v>
      </c>
      <c r="B124" s="5" t="s">
        <v>20</v>
      </c>
      <c r="C124" s="5" t="s">
        <v>18</v>
      </c>
      <c r="D124" s="12">
        <v>0</v>
      </c>
      <c r="E124" s="12">
        <v>1</v>
      </c>
      <c r="F124" s="12">
        <v>0</v>
      </c>
      <c r="G124" s="12">
        <v>0</v>
      </c>
      <c r="H124" s="12">
        <v>1</v>
      </c>
      <c r="I124" s="12">
        <v>0</v>
      </c>
    </row>
    <row r="125" spans="1:9">
      <c r="A125" s="3" t="s">
        <v>52</v>
      </c>
      <c r="B125" s="5" t="s">
        <v>20</v>
      </c>
      <c r="C125" s="5" t="s">
        <v>18</v>
      </c>
      <c r="D125" s="12">
        <v>0</v>
      </c>
      <c r="E125" s="12">
        <v>1</v>
      </c>
      <c r="F125" s="12">
        <v>0</v>
      </c>
      <c r="G125" s="12">
        <v>0</v>
      </c>
      <c r="H125" s="12">
        <v>1</v>
      </c>
      <c r="I125" s="12">
        <v>0</v>
      </c>
    </row>
    <row r="126" spans="1:9">
      <c r="A126" s="3" t="s">
        <v>53</v>
      </c>
      <c r="B126" s="5" t="s">
        <v>24</v>
      </c>
      <c r="C126" s="5" t="s">
        <v>18</v>
      </c>
      <c r="D126" s="12">
        <v>0</v>
      </c>
      <c r="E126" s="12">
        <v>0</v>
      </c>
      <c r="F126" s="12">
        <v>1</v>
      </c>
      <c r="G126" s="12">
        <v>0</v>
      </c>
      <c r="H126" s="12">
        <v>1</v>
      </c>
      <c r="I126" s="12">
        <v>0</v>
      </c>
    </row>
    <row r="127" spans="1:9">
      <c r="A127" s="3" t="s">
        <v>53</v>
      </c>
      <c r="B127" s="5" t="s">
        <v>24</v>
      </c>
      <c r="C127" s="5" t="s">
        <v>18</v>
      </c>
      <c r="D127" s="12">
        <v>0</v>
      </c>
      <c r="E127" s="12">
        <v>0</v>
      </c>
      <c r="F127" s="12">
        <v>1</v>
      </c>
      <c r="G127" s="12">
        <v>0</v>
      </c>
      <c r="H127" s="12">
        <v>1</v>
      </c>
      <c r="I127" s="12">
        <v>0</v>
      </c>
    </row>
    <row r="128" spans="1:9">
      <c r="A128" s="3" t="s">
        <v>53</v>
      </c>
      <c r="B128" s="5" t="s">
        <v>24</v>
      </c>
      <c r="C128" s="5" t="s">
        <v>18</v>
      </c>
      <c r="D128" s="12">
        <v>0</v>
      </c>
      <c r="E128" s="12">
        <v>0</v>
      </c>
      <c r="F128" s="12">
        <v>1</v>
      </c>
      <c r="G128" s="12">
        <v>0</v>
      </c>
      <c r="H128" s="12">
        <v>1</v>
      </c>
      <c r="I128" s="12">
        <v>0</v>
      </c>
    </row>
    <row r="129" spans="1:9">
      <c r="A129" s="3" t="s">
        <v>53</v>
      </c>
      <c r="B129" s="5" t="s">
        <v>24</v>
      </c>
      <c r="C129" s="5" t="s">
        <v>18</v>
      </c>
      <c r="D129" s="12">
        <v>0</v>
      </c>
      <c r="E129" s="12">
        <v>0</v>
      </c>
      <c r="F129" s="12">
        <v>1</v>
      </c>
      <c r="G129" s="12">
        <v>0</v>
      </c>
      <c r="H129" s="12">
        <v>1</v>
      </c>
      <c r="I129" s="12">
        <v>0</v>
      </c>
    </row>
    <row r="130" spans="1:9">
      <c r="A130" s="3" t="s">
        <v>54</v>
      </c>
      <c r="B130" s="5" t="s">
        <v>15</v>
      </c>
      <c r="C130" s="5" t="s">
        <v>18</v>
      </c>
      <c r="D130" s="12">
        <v>0</v>
      </c>
      <c r="E130" s="12">
        <v>0</v>
      </c>
      <c r="F130" s="12">
        <v>0</v>
      </c>
      <c r="G130" s="12">
        <v>0</v>
      </c>
      <c r="H130" s="12">
        <v>1</v>
      </c>
      <c r="I130" s="12">
        <v>0</v>
      </c>
    </row>
    <row r="131" spans="1:9">
      <c r="A131" s="3" t="s">
        <v>54</v>
      </c>
      <c r="B131" s="5" t="s">
        <v>15</v>
      </c>
      <c r="C131" s="5" t="s">
        <v>18</v>
      </c>
      <c r="D131" s="12">
        <v>0</v>
      </c>
      <c r="E131" s="12">
        <v>0</v>
      </c>
      <c r="F131" s="12">
        <v>0</v>
      </c>
      <c r="G131" s="12">
        <v>0</v>
      </c>
      <c r="H131" s="12">
        <v>1</v>
      </c>
      <c r="I131" s="12">
        <v>0</v>
      </c>
    </row>
    <row r="132" spans="1:9">
      <c r="A132" s="3" t="s">
        <v>54</v>
      </c>
      <c r="B132" s="5" t="s">
        <v>15</v>
      </c>
      <c r="C132" s="5" t="s">
        <v>18</v>
      </c>
      <c r="D132" s="12">
        <v>0</v>
      </c>
      <c r="E132" s="12">
        <v>0</v>
      </c>
      <c r="F132" s="12">
        <v>0</v>
      </c>
      <c r="G132" s="12">
        <v>0</v>
      </c>
      <c r="H132" s="12">
        <v>1</v>
      </c>
      <c r="I132" s="12">
        <v>0</v>
      </c>
    </row>
    <row r="133" spans="1:9">
      <c r="A133" s="3" t="s">
        <v>54</v>
      </c>
      <c r="B133" s="5" t="s">
        <v>15</v>
      </c>
      <c r="C133" s="5" t="s">
        <v>18</v>
      </c>
      <c r="D133" s="12">
        <v>0</v>
      </c>
      <c r="E133" s="12">
        <v>0</v>
      </c>
      <c r="F133" s="12">
        <v>0</v>
      </c>
      <c r="G133" s="12">
        <v>0</v>
      </c>
      <c r="H133" s="12">
        <v>1</v>
      </c>
      <c r="I133" s="12">
        <v>0</v>
      </c>
    </row>
    <row r="134" spans="1:9">
      <c r="A134" s="3" t="s">
        <v>55</v>
      </c>
      <c r="B134" s="5" t="s">
        <v>20</v>
      </c>
      <c r="C134" s="5" t="s">
        <v>18</v>
      </c>
      <c r="D134" s="12">
        <v>0</v>
      </c>
      <c r="E134" s="12">
        <v>1</v>
      </c>
      <c r="F134" s="12">
        <v>0</v>
      </c>
      <c r="G134" s="12">
        <v>0</v>
      </c>
      <c r="H134" s="12">
        <v>1</v>
      </c>
      <c r="I134" s="12">
        <v>0</v>
      </c>
    </row>
    <row r="135" spans="1:9">
      <c r="A135" s="3" t="s">
        <v>55</v>
      </c>
      <c r="B135" s="5" t="s">
        <v>20</v>
      </c>
      <c r="C135" s="5" t="s">
        <v>18</v>
      </c>
      <c r="D135" s="12">
        <v>0</v>
      </c>
      <c r="E135" s="12">
        <v>1</v>
      </c>
      <c r="F135" s="12">
        <v>0</v>
      </c>
      <c r="G135" s="12">
        <v>0</v>
      </c>
      <c r="H135" s="12">
        <v>1</v>
      </c>
      <c r="I135" s="12">
        <v>0</v>
      </c>
    </row>
    <row r="136" spans="1:9">
      <c r="A136" s="3" t="s">
        <v>55</v>
      </c>
      <c r="B136" s="5" t="s">
        <v>20</v>
      </c>
      <c r="C136" s="5" t="s">
        <v>18</v>
      </c>
      <c r="D136" s="12">
        <v>0</v>
      </c>
      <c r="E136" s="12">
        <v>1</v>
      </c>
      <c r="F136" s="12">
        <v>0</v>
      </c>
      <c r="G136" s="12">
        <v>0</v>
      </c>
      <c r="H136" s="12">
        <v>1</v>
      </c>
      <c r="I136" s="12">
        <v>0</v>
      </c>
    </row>
    <row r="137" spans="1:9">
      <c r="A137" s="3" t="s">
        <v>55</v>
      </c>
      <c r="B137" s="5" t="s">
        <v>20</v>
      </c>
      <c r="C137" s="5" t="s">
        <v>18</v>
      </c>
      <c r="D137" s="12">
        <v>0</v>
      </c>
      <c r="E137" s="12">
        <v>1</v>
      </c>
      <c r="F137" s="12">
        <v>0</v>
      </c>
      <c r="G137" s="12">
        <v>0</v>
      </c>
      <c r="H137" s="12">
        <v>1</v>
      </c>
      <c r="I137" s="12">
        <v>0</v>
      </c>
    </row>
    <row r="138" spans="1:9">
      <c r="A138" s="3" t="s">
        <v>56</v>
      </c>
      <c r="B138" s="5" t="s">
        <v>24</v>
      </c>
      <c r="C138" s="5" t="s">
        <v>16</v>
      </c>
      <c r="D138" s="12">
        <v>0</v>
      </c>
      <c r="E138" s="12">
        <v>0</v>
      </c>
      <c r="F138" s="12">
        <v>1</v>
      </c>
      <c r="G138" s="12">
        <v>0</v>
      </c>
      <c r="H138" s="12">
        <v>0</v>
      </c>
      <c r="I138" s="12">
        <v>0</v>
      </c>
    </row>
    <row r="139" spans="1:9">
      <c r="A139" s="3" t="s">
        <v>56</v>
      </c>
      <c r="B139" s="5" t="s">
        <v>24</v>
      </c>
      <c r="C139" s="5" t="s">
        <v>16</v>
      </c>
      <c r="D139" s="12">
        <v>0</v>
      </c>
      <c r="E139" s="12">
        <v>0</v>
      </c>
      <c r="F139" s="12">
        <v>1</v>
      </c>
      <c r="G139" s="12">
        <v>0</v>
      </c>
      <c r="H139" s="12">
        <v>0</v>
      </c>
      <c r="I139" s="12">
        <v>0</v>
      </c>
    </row>
    <row r="140" spans="1:9">
      <c r="A140" s="3" t="s">
        <v>56</v>
      </c>
      <c r="B140" s="5" t="s">
        <v>24</v>
      </c>
      <c r="C140" s="5" t="s">
        <v>16</v>
      </c>
      <c r="D140" s="12">
        <v>0</v>
      </c>
      <c r="E140" s="12">
        <v>0</v>
      </c>
      <c r="F140" s="12">
        <v>1</v>
      </c>
      <c r="G140" s="12">
        <v>0</v>
      </c>
      <c r="H140" s="12">
        <v>0</v>
      </c>
      <c r="I140" s="12">
        <v>0</v>
      </c>
    </row>
    <row r="141" spans="1:9">
      <c r="A141" s="3" t="s">
        <v>56</v>
      </c>
      <c r="B141" s="5" t="s">
        <v>24</v>
      </c>
      <c r="C141" s="5" t="s">
        <v>16</v>
      </c>
      <c r="D141" s="12">
        <v>0</v>
      </c>
      <c r="E141" s="12">
        <v>0</v>
      </c>
      <c r="F141" s="12">
        <v>1</v>
      </c>
      <c r="G141" s="12">
        <v>0</v>
      </c>
      <c r="H141" s="12">
        <v>0</v>
      </c>
      <c r="I141" s="12">
        <v>0</v>
      </c>
    </row>
    <row r="142" spans="1:9">
      <c r="A142" s="3" t="s">
        <v>57</v>
      </c>
      <c r="B142" s="5" t="s">
        <v>27</v>
      </c>
      <c r="C142" s="5" t="s">
        <v>18</v>
      </c>
      <c r="D142" s="12">
        <v>1</v>
      </c>
      <c r="E142" s="12">
        <v>0</v>
      </c>
      <c r="F142" s="12">
        <v>0</v>
      </c>
      <c r="G142" s="12">
        <v>0</v>
      </c>
      <c r="H142" s="12">
        <v>1</v>
      </c>
      <c r="I142" s="12">
        <v>0</v>
      </c>
    </row>
    <row r="143" spans="1:9">
      <c r="A143" s="3" t="s">
        <v>57</v>
      </c>
      <c r="B143" s="5" t="s">
        <v>27</v>
      </c>
      <c r="C143" s="5" t="s">
        <v>18</v>
      </c>
      <c r="D143" s="12">
        <v>1</v>
      </c>
      <c r="E143" s="12">
        <v>0</v>
      </c>
      <c r="F143" s="12">
        <v>0</v>
      </c>
      <c r="G143" s="12">
        <v>0</v>
      </c>
      <c r="H143" s="12">
        <v>1</v>
      </c>
      <c r="I143" s="12">
        <v>0</v>
      </c>
    </row>
    <row r="144" spans="1:9">
      <c r="A144" s="3" t="s">
        <v>57</v>
      </c>
      <c r="B144" s="5" t="s">
        <v>27</v>
      </c>
      <c r="C144" s="5" t="s">
        <v>18</v>
      </c>
      <c r="D144" s="12">
        <v>1</v>
      </c>
      <c r="E144" s="12">
        <v>0</v>
      </c>
      <c r="F144" s="12">
        <v>0</v>
      </c>
      <c r="G144" s="12">
        <v>0</v>
      </c>
      <c r="H144" s="12">
        <v>1</v>
      </c>
      <c r="I144" s="12">
        <v>0</v>
      </c>
    </row>
    <row r="145" spans="1:9">
      <c r="A145" s="3" t="s">
        <v>57</v>
      </c>
      <c r="B145" s="5" t="s">
        <v>27</v>
      </c>
      <c r="C145" s="5" t="s">
        <v>18</v>
      </c>
      <c r="D145" s="12">
        <v>1</v>
      </c>
      <c r="E145" s="12">
        <v>0</v>
      </c>
      <c r="F145" s="12">
        <v>0</v>
      </c>
      <c r="G145" s="12">
        <v>0</v>
      </c>
      <c r="H145" s="12">
        <v>1</v>
      </c>
      <c r="I145" s="12">
        <v>0</v>
      </c>
    </row>
    <row r="146" spans="1:9">
      <c r="A146" s="3" t="s">
        <v>58</v>
      </c>
      <c r="B146" s="5" t="s">
        <v>20</v>
      </c>
      <c r="C146" s="5" t="s">
        <v>16</v>
      </c>
      <c r="D146" s="12">
        <v>0</v>
      </c>
      <c r="E146" s="12">
        <v>1</v>
      </c>
      <c r="F146" s="12">
        <v>0</v>
      </c>
      <c r="G146" s="12">
        <v>0</v>
      </c>
      <c r="H146" s="12">
        <v>0</v>
      </c>
      <c r="I146" s="12">
        <v>0</v>
      </c>
    </row>
    <row r="147" spans="1:9">
      <c r="A147" s="3" t="s">
        <v>58</v>
      </c>
      <c r="B147" s="5" t="s">
        <v>20</v>
      </c>
      <c r="C147" s="5" t="s">
        <v>16</v>
      </c>
      <c r="D147" s="12">
        <v>0</v>
      </c>
      <c r="E147" s="12">
        <v>1</v>
      </c>
      <c r="F147" s="12">
        <v>0</v>
      </c>
      <c r="G147" s="12">
        <v>0</v>
      </c>
      <c r="H147" s="12">
        <v>0</v>
      </c>
      <c r="I147" s="12">
        <v>0</v>
      </c>
    </row>
    <row r="148" spans="1:9">
      <c r="A148" s="3" t="s">
        <v>58</v>
      </c>
      <c r="B148" s="5" t="s">
        <v>20</v>
      </c>
      <c r="C148" s="5" t="s">
        <v>16</v>
      </c>
      <c r="D148" s="12">
        <v>0</v>
      </c>
      <c r="E148" s="12">
        <v>1</v>
      </c>
      <c r="F148" s="12">
        <v>0</v>
      </c>
      <c r="G148" s="12">
        <v>0</v>
      </c>
      <c r="H148" s="12">
        <v>0</v>
      </c>
      <c r="I148" s="12">
        <v>0</v>
      </c>
    </row>
    <row r="149" spans="1:9">
      <c r="A149" s="3" t="s">
        <v>58</v>
      </c>
      <c r="B149" s="5" t="s">
        <v>20</v>
      </c>
      <c r="C149" s="5" t="s">
        <v>16</v>
      </c>
      <c r="D149" s="12">
        <v>0</v>
      </c>
      <c r="E149" s="12">
        <v>1</v>
      </c>
      <c r="F149" s="12">
        <v>0</v>
      </c>
      <c r="G149" s="12">
        <v>0</v>
      </c>
      <c r="H149" s="12">
        <v>0</v>
      </c>
      <c r="I149" s="12">
        <v>0</v>
      </c>
    </row>
    <row r="150" spans="1:9">
      <c r="A150" s="3" t="s">
        <v>59</v>
      </c>
      <c r="B150" s="5" t="s">
        <v>24</v>
      </c>
      <c r="C150" s="5" t="s">
        <v>28</v>
      </c>
      <c r="D150" s="12">
        <v>0</v>
      </c>
      <c r="E150" s="12">
        <v>0</v>
      </c>
      <c r="F150" s="12">
        <v>1</v>
      </c>
      <c r="G150" s="12">
        <v>0</v>
      </c>
      <c r="H150" s="12">
        <v>0</v>
      </c>
      <c r="I150" s="12">
        <v>1</v>
      </c>
    </row>
    <row r="151" spans="1:9">
      <c r="A151" s="3" t="s">
        <v>59</v>
      </c>
      <c r="B151" s="5" t="s">
        <v>24</v>
      </c>
      <c r="C151" s="5" t="s">
        <v>28</v>
      </c>
      <c r="D151" s="12">
        <v>0</v>
      </c>
      <c r="E151" s="12">
        <v>0</v>
      </c>
      <c r="F151" s="12">
        <v>1</v>
      </c>
      <c r="G151" s="12">
        <v>0</v>
      </c>
      <c r="H151" s="12">
        <v>0</v>
      </c>
      <c r="I151" s="12">
        <v>1</v>
      </c>
    </row>
    <row r="152" spans="1:9">
      <c r="A152" s="3" t="s">
        <v>59</v>
      </c>
      <c r="B152" s="5" t="s">
        <v>24</v>
      </c>
      <c r="C152" s="5" t="s">
        <v>28</v>
      </c>
      <c r="D152" s="12">
        <v>0</v>
      </c>
      <c r="E152" s="12">
        <v>0</v>
      </c>
      <c r="F152" s="12">
        <v>1</v>
      </c>
      <c r="G152" s="12">
        <v>0</v>
      </c>
      <c r="H152" s="12">
        <v>0</v>
      </c>
      <c r="I152" s="12">
        <v>1</v>
      </c>
    </row>
    <row r="153" spans="1:9">
      <c r="A153" s="3" t="s">
        <v>59</v>
      </c>
      <c r="B153" s="5" t="s">
        <v>24</v>
      </c>
      <c r="C153" s="5" t="s">
        <v>28</v>
      </c>
      <c r="D153" s="12">
        <v>0</v>
      </c>
      <c r="E153" s="12">
        <v>0</v>
      </c>
      <c r="F153" s="12">
        <v>1</v>
      </c>
      <c r="G153" s="12">
        <v>0</v>
      </c>
      <c r="H153" s="12">
        <v>0</v>
      </c>
      <c r="I153" s="12">
        <v>1</v>
      </c>
    </row>
    <row r="154" spans="1:9">
      <c r="A154" s="3" t="s">
        <v>60</v>
      </c>
      <c r="B154" s="5" t="s">
        <v>15</v>
      </c>
      <c r="C154" s="5" t="s">
        <v>18</v>
      </c>
      <c r="D154" s="12">
        <v>0</v>
      </c>
      <c r="E154" s="12">
        <v>0</v>
      </c>
      <c r="F154" s="12">
        <v>0</v>
      </c>
      <c r="G154" s="12">
        <v>0</v>
      </c>
      <c r="H154" s="12">
        <v>1</v>
      </c>
      <c r="I154" s="12">
        <v>0</v>
      </c>
    </row>
    <row r="155" spans="1:9">
      <c r="A155" s="3" t="s">
        <v>60</v>
      </c>
      <c r="B155" s="5" t="s">
        <v>15</v>
      </c>
      <c r="C155" s="5" t="s">
        <v>18</v>
      </c>
      <c r="D155" s="12">
        <v>0</v>
      </c>
      <c r="E155" s="12">
        <v>0</v>
      </c>
      <c r="F155" s="12">
        <v>0</v>
      </c>
      <c r="G155" s="12">
        <v>0</v>
      </c>
      <c r="H155" s="12">
        <v>1</v>
      </c>
      <c r="I155" s="12">
        <v>0</v>
      </c>
    </row>
    <row r="156" spans="1:9">
      <c r="A156" s="3" t="s">
        <v>60</v>
      </c>
      <c r="B156" s="5" t="s">
        <v>15</v>
      </c>
      <c r="C156" s="5" t="s">
        <v>18</v>
      </c>
      <c r="D156" s="12">
        <v>0</v>
      </c>
      <c r="E156" s="12">
        <v>0</v>
      </c>
      <c r="F156" s="12">
        <v>0</v>
      </c>
      <c r="G156" s="12">
        <v>0</v>
      </c>
      <c r="H156" s="12">
        <v>1</v>
      </c>
      <c r="I156" s="12">
        <v>0</v>
      </c>
    </row>
    <row r="157" spans="1:9">
      <c r="A157" s="3" t="s">
        <v>60</v>
      </c>
      <c r="B157" s="5" t="s">
        <v>15</v>
      </c>
      <c r="C157" s="5" t="s">
        <v>18</v>
      </c>
      <c r="D157" s="12">
        <v>0</v>
      </c>
      <c r="E157" s="12">
        <v>0</v>
      </c>
      <c r="F157" s="12">
        <v>0</v>
      </c>
      <c r="G157" s="12">
        <v>0</v>
      </c>
      <c r="H157" s="12">
        <v>1</v>
      </c>
      <c r="I157" s="12">
        <v>0</v>
      </c>
    </row>
    <row r="158" spans="1:9">
      <c r="A158" s="3" t="s">
        <v>61</v>
      </c>
      <c r="B158" s="5" t="s">
        <v>20</v>
      </c>
      <c r="C158" s="5" t="s">
        <v>28</v>
      </c>
      <c r="D158" s="12">
        <v>0</v>
      </c>
      <c r="E158" s="12">
        <v>1</v>
      </c>
      <c r="F158" s="12">
        <v>0</v>
      </c>
      <c r="G158" s="12">
        <v>0</v>
      </c>
      <c r="H158" s="12">
        <v>0</v>
      </c>
      <c r="I158" s="12">
        <v>1</v>
      </c>
    </row>
    <row r="159" spans="1:9">
      <c r="A159" s="3" t="s">
        <v>61</v>
      </c>
      <c r="B159" s="5" t="s">
        <v>20</v>
      </c>
      <c r="C159" s="5" t="s">
        <v>28</v>
      </c>
      <c r="D159" s="12">
        <v>0</v>
      </c>
      <c r="E159" s="12">
        <v>1</v>
      </c>
      <c r="F159" s="12">
        <v>0</v>
      </c>
      <c r="G159" s="12">
        <v>0</v>
      </c>
      <c r="H159" s="12">
        <v>0</v>
      </c>
      <c r="I159" s="12">
        <v>1</v>
      </c>
    </row>
    <row r="160" spans="1:9">
      <c r="A160" s="3" t="s">
        <v>61</v>
      </c>
      <c r="B160" s="5" t="s">
        <v>20</v>
      </c>
      <c r="C160" s="5" t="s">
        <v>28</v>
      </c>
      <c r="D160" s="12">
        <v>0</v>
      </c>
      <c r="E160" s="12">
        <v>1</v>
      </c>
      <c r="F160" s="12">
        <v>0</v>
      </c>
      <c r="G160" s="12">
        <v>0</v>
      </c>
      <c r="H160" s="12">
        <v>0</v>
      </c>
      <c r="I160" s="12">
        <v>1</v>
      </c>
    </row>
    <row r="161" spans="1:9">
      <c r="A161" s="3" t="s">
        <v>61</v>
      </c>
      <c r="B161" s="5" t="s">
        <v>20</v>
      </c>
      <c r="C161" s="5" t="s">
        <v>28</v>
      </c>
      <c r="D161" s="12">
        <v>0</v>
      </c>
      <c r="E161" s="12">
        <v>1</v>
      </c>
      <c r="F161" s="12">
        <v>0</v>
      </c>
      <c r="G161" s="12">
        <v>0</v>
      </c>
      <c r="H161" s="12">
        <v>0</v>
      </c>
      <c r="I161" s="12">
        <v>1</v>
      </c>
    </row>
    <row r="162" spans="1:9">
      <c r="A162" s="3" t="s">
        <v>62</v>
      </c>
      <c r="B162" s="5" t="s">
        <v>24</v>
      </c>
      <c r="C162" s="5" t="s">
        <v>18</v>
      </c>
      <c r="D162" s="12">
        <v>0</v>
      </c>
      <c r="E162" s="12">
        <v>0</v>
      </c>
      <c r="F162" s="12">
        <v>1</v>
      </c>
      <c r="G162" s="12">
        <v>0</v>
      </c>
      <c r="H162" s="12">
        <v>1</v>
      </c>
      <c r="I162" s="12">
        <v>0</v>
      </c>
    </row>
    <row r="163" spans="1:9">
      <c r="A163" s="3" t="s">
        <v>62</v>
      </c>
      <c r="B163" s="5" t="s">
        <v>24</v>
      </c>
      <c r="C163" s="5" t="s">
        <v>18</v>
      </c>
      <c r="D163" s="12">
        <v>0</v>
      </c>
      <c r="E163" s="12">
        <v>0</v>
      </c>
      <c r="F163" s="12">
        <v>1</v>
      </c>
      <c r="G163" s="12">
        <v>0</v>
      </c>
      <c r="H163" s="12">
        <v>1</v>
      </c>
      <c r="I163" s="12">
        <v>0</v>
      </c>
    </row>
    <row r="164" spans="1:9">
      <c r="A164" s="3" t="s">
        <v>62</v>
      </c>
      <c r="B164" s="5" t="s">
        <v>24</v>
      </c>
      <c r="C164" s="5" t="s">
        <v>18</v>
      </c>
      <c r="D164" s="12">
        <v>0</v>
      </c>
      <c r="E164" s="12">
        <v>0</v>
      </c>
      <c r="F164" s="12">
        <v>1</v>
      </c>
      <c r="G164" s="12">
        <v>0</v>
      </c>
      <c r="H164" s="12">
        <v>1</v>
      </c>
      <c r="I164" s="12">
        <v>0</v>
      </c>
    </row>
    <row r="165" spans="1:9">
      <c r="A165" s="3" t="s">
        <v>62</v>
      </c>
      <c r="B165" s="5" t="s">
        <v>24</v>
      </c>
      <c r="C165" s="5" t="s">
        <v>18</v>
      </c>
      <c r="D165" s="12">
        <v>0</v>
      </c>
      <c r="E165" s="12">
        <v>0</v>
      </c>
      <c r="F165" s="12">
        <v>1</v>
      </c>
      <c r="G165" s="12">
        <v>0</v>
      </c>
      <c r="H165" s="12">
        <v>1</v>
      </c>
      <c r="I165" s="12">
        <v>0</v>
      </c>
    </row>
    <row r="166" spans="1:9">
      <c r="A166" s="3" t="s">
        <v>63</v>
      </c>
      <c r="B166" s="5" t="s">
        <v>20</v>
      </c>
      <c r="C166" s="5" t="s">
        <v>28</v>
      </c>
      <c r="D166" s="12">
        <v>0</v>
      </c>
      <c r="E166" s="12">
        <v>1</v>
      </c>
      <c r="F166" s="12">
        <v>0</v>
      </c>
      <c r="G166" s="12">
        <v>0</v>
      </c>
      <c r="H166" s="12">
        <v>0</v>
      </c>
      <c r="I166" s="12">
        <v>1</v>
      </c>
    </row>
    <row r="167" spans="1:9">
      <c r="A167" s="3" t="s">
        <v>63</v>
      </c>
      <c r="B167" s="5" t="s">
        <v>20</v>
      </c>
      <c r="C167" s="5" t="s">
        <v>28</v>
      </c>
      <c r="D167" s="12">
        <v>0</v>
      </c>
      <c r="E167" s="12">
        <v>1</v>
      </c>
      <c r="F167" s="12">
        <v>0</v>
      </c>
      <c r="G167" s="12">
        <v>0</v>
      </c>
      <c r="H167" s="12">
        <v>0</v>
      </c>
      <c r="I167" s="12">
        <v>1</v>
      </c>
    </row>
    <row r="168" spans="1:9">
      <c r="A168" s="3" t="s">
        <v>63</v>
      </c>
      <c r="B168" s="5" t="s">
        <v>20</v>
      </c>
      <c r="C168" s="5" t="s">
        <v>28</v>
      </c>
      <c r="D168" s="12">
        <v>0</v>
      </c>
      <c r="E168" s="12">
        <v>1</v>
      </c>
      <c r="F168" s="12">
        <v>0</v>
      </c>
      <c r="G168" s="12">
        <v>0</v>
      </c>
      <c r="H168" s="12">
        <v>0</v>
      </c>
      <c r="I168" s="12">
        <v>1</v>
      </c>
    </row>
    <row r="169" spans="1:9">
      <c r="A169" s="3" t="s">
        <v>63</v>
      </c>
      <c r="B169" s="5" t="s">
        <v>20</v>
      </c>
      <c r="C169" s="5" t="s">
        <v>28</v>
      </c>
      <c r="D169" s="12">
        <v>0</v>
      </c>
      <c r="E169" s="12">
        <v>1</v>
      </c>
      <c r="F169" s="12">
        <v>0</v>
      </c>
      <c r="G169" s="12">
        <v>0</v>
      </c>
      <c r="H169" s="12">
        <v>0</v>
      </c>
      <c r="I169" s="12">
        <v>1</v>
      </c>
    </row>
    <row r="170" spans="1:9">
      <c r="A170" s="3" t="s">
        <v>64</v>
      </c>
      <c r="B170" s="5" t="s">
        <v>15</v>
      </c>
      <c r="C170" s="5" t="s">
        <v>16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</row>
    <row r="171" spans="1:9">
      <c r="A171" s="3" t="s">
        <v>64</v>
      </c>
      <c r="B171" s="5" t="s">
        <v>15</v>
      </c>
      <c r="C171" s="5" t="s">
        <v>16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</row>
    <row r="172" spans="1:9">
      <c r="A172" s="3" t="s">
        <v>64</v>
      </c>
      <c r="B172" s="5" t="s">
        <v>15</v>
      </c>
      <c r="C172" s="5" t="s">
        <v>16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</row>
    <row r="173" spans="1:9">
      <c r="A173" s="3" t="s">
        <v>64</v>
      </c>
      <c r="B173" s="5" t="s">
        <v>15</v>
      </c>
      <c r="C173" s="5" t="s">
        <v>16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</row>
    <row r="174" spans="1:9">
      <c r="A174" s="3" t="s">
        <v>65</v>
      </c>
      <c r="B174" s="5" t="s">
        <v>15</v>
      </c>
      <c r="C174" s="5" t="s">
        <v>16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</row>
    <row r="175" spans="1:9">
      <c r="A175" s="3" t="s">
        <v>65</v>
      </c>
      <c r="B175" s="5" t="s">
        <v>15</v>
      </c>
      <c r="C175" s="5" t="s">
        <v>16</v>
      </c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</row>
    <row r="176" spans="1:9">
      <c r="A176" s="3" t="s">
        <v>65</v>
      </c>
      <c r="B176" s="5" t="s">
        <v>15</v>
      </c>
      <c r="C176" s="5" t="s">
        <v>16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</row>
    <row r="177" spans="1:9">
      <c r="A177" s="3" t="s">
        <v>65</v>
      </c>
      <c r="B177" s="5" t="s">
        <v>15</v>
      </c>
      <c r="C177" s="5" t="s">
        <v>16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</row>
    <row r="178" spans="1:9">
      <c r="A178" s="3" t="s">
        <v>66</v>
      </c>
      <c r="B178" s="5" t="s">
        <v>27</v>
      </c>
      <c r="C178" s="5" t="s">
        <v>21</v>
      </c>
      <c r="D178" s="12">
        <v>1</v>
      </c>
      <c r="E178" s="12">
        <v>0</v>
      </c>
      <c r="F178" s="12">
        <v>0</v>
      </c>
      <c r="G178" s="12">
        <v>1</v>
      </c>
      <c r="H178" s="12">
        <v>0</v>
      </c>
      <c r="I178" s="12">
        <v>0</v>
      </c>
    </row>
    <row r="179" spans="1:9">
      <c r="A179" s="3" t="s">
        <v>66</v>
      </c>
      <c r="B179" s="5" t="s">
        <v>27</v>
      </c>
      <c r="C179" s="5" t="s">
        <v>21</v>
      </c>
      <c r="D179" s="12">
        <v>1</v>
      </c>
      <c r="E179" s="12">
        <v>0</v>
      </c>
      <c r="F179" s="12">
        <v>0</v>
      </c>
      <c r="G179" s="12">
        <v>1</v>
      </c>
      <c r="H179" s="12">
        <v>0</v>
      </c>
      <c r="I179" s="12">
        <v>0</v>
      </c>
    </row>
    <row r="180" spans="1:9">
      <c r="A180" s="3" t="s">
        <v>66</v>
      </c>
      <c r="B180" s="5" t="s">
        <v>27</v>
      </c>
      <c r="C180" s="5" t="s">
        <v>21</v>
      </c>
      <c r="D180" s="12">
        <v>1</v>
      </c>
      <c r="E180" s="12">
        <v>0</v>
      </c>
      <c r="F180" s="12">
        <v>0</v>
      </c>
      <c r="G180" s="12">
        <v>1</v>
      </c>
      <c r="H180" s="12">
        <v>0</v>
      </c>
      <c r="I180" s="12">
        <v>0</v>
      </c>
    </row>
    <row r="181" spans="1:9">
      <c r="A181" s="3" t="s">
        <v>66</v>
      </c>
      <c r="B181" s="5" t="s">
        <v>27</v>
      </c>
      <c r="C181" s="5" t="s">
        <v>21</v>
      </c>
      <c r="D181" s="12">
        <v>1</v>
      </c>
      <c r="E181" s="12">
        <v>0</v>
      </c>
      <c r="F181" s="12">
        <v>0</v>
      </c>
      <c r="G181" s="12">
        <v>1</v>
      </c>
      <c r="H181" s="12">
        <v>0</v>
      </c>
      <c r="I181" s="12">
        <v>0</v>
      </c>
    </row>
    <row r="182" spans="1:9">
      <c r="A182" s="3" t="s">
        <v>67</v>
      </c>
      <c r="B182" s="5" t="s">
        <v>27</v>
      </c>
      <c r="C182" s="5" t="s">
        <v>16</v>
      </c>
      <c r="D182" s="12">
        <v>1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</row>
    <row r="183" spans="1:9">
      <c r="A183" s="3" t="s">
        <v>67</v>
      </c>
      <c r="B183" s="5" t="s">
        <v>27</v>
      </c>
      <c r="C183" s="5" t="s">
        <v>16</v>
      </c>
      <c r="D183" s="12">
        <v>1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</row>
    <row r="184" spans="1:9">
      <c r="A184" s="3" t="s">
        <v>67</v>
      </c>
      <c r="B184" s="5" t="s">
        <v>27</v>
      </c>
      <c r="C184" s="5" t="s">
        <v>16</v>
      </c>
      <c r="D184" s="12">
        <v>1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</row>
    <row r="185" spans="1:9">
      <c r="A185" s="3" t="s">
        <v>67</v>
      </c>
      <c r="B185" s="5" t="s">
        <v>27</v>
      </c>
      <c r="C185" s="5" t="s">
        <v>16</v>
      </c>
      <c r="D185" s="12">
        <v>1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</row>
    <row r="186" spans="1:9">
      <c r="A186" s="3" t="s">
        <v>68</v>
      </c>
      <c r="B186" s="5" t="s">
        <v>20</v>
      </c>
      <c r="C186" s="5" t="s">
        <v>18</v>
      </c>
      <c r="D186" s="12">
        <v>0</v>
      </c>
      <c r="E186" s="12">
        <v>1</v>
      </c>
      <c r="F186" s="12">
        <v>0</v>
      </c>
      <c r="G186" s="12">
        <v>0</v>
      </c>
      <c r="H186" s="12">
        <v>1</v>
      </c>
      <c r="I186" s="12">
        <v>0</v>
      </c>
    </row>
    <row r="187" spans="1:9">
      <c r="A187" s="3" t="s">
        <v>68</v>
      </c>
      <c r="B187" s="5" t="s">
        <v>20</v>
      </c>
      <c r="C187" s="5" t="s">
        <v>18</v>
      </c>
      <c r="D187" s="12">
        <v>0</v>
      </c>
      <c r="E187" s="12">
        <v>1</v>
      </c>
      <c r="F187" s="12">
        <v>0</v>
      </c>
      <c r="G187" s="12">
        <v>0</v>
      </c>
      <c r="H187" s="12">
        <v>1</v>
      </c>
      <c r="I187" s="12">
        <v>0</v>
      </c>
    </row>
    <row r="188" spans="1:9">
      <c r="A188" s="3" t="s">
        <v>68</v>
      </c>
      <c r="B188" s="5" t="s">
        <v>20</v>
      </c>
      <c r="C188" s="5" t="s">
        <v>18</v>
      </c>
      <c r="D188" s="12">
        <v>0</v>
      </c>
      <c r="E188" s="12">
        <v>1</v>
      </c>
      <c r="F188" s="12">
        <v>0</v>
      </c>
      <c r="G188" s="12">
        <v>0</v>
      </c>
      <c r="H188" s="12">
        <v>1</v>
      </c>
      <c r="I188" s="12">
        <v>0</v>
      </c>
    </row>
    <row r="189" spans="1:9">
      <c r="A189" s="3" t="s">
        <v>68</v>
      </c>
      <c r="B189" s="5" t="s">
        <v>20</v>
      </c>
      <c r="C189" s="5" t="s">
        <v>18</v>
      </c>
      <c r="D189" s="12">
        <v>0</v>
      </c>
      <c r="E189" s="12">
        <v>1</v>
      </c>
      <c r="F189" s="12">
        <v>0</v>
      </c>
      <c r="G189" s="12">
        <v>0</v>
      </c>
      <c r="H189" s="12">
        <v>1</v>
      </c>
      <c r="I189" s="12">
        <v>0</v>
      </c>
    </row>
    <row r="190" spans="1:9">
      <c r="A190" s="3" t="s">
        <v>69</v>
      </c>
      <c r="B190" s="5" t="s">
        <v>15</v>
      </c>
      <c r="C190" s="5" t="s">
        <v>18</v>
      </c>
      <c r="D190" s="12">
        <v>0</v>
      </c>
      <c r="E190" s="12">
        <v>0</v>
      </c>
      <c r="F190" s="12">
        <v>0</v>
      </c>
      <c r="G190" s="12">
        <v>0</v>
      </c>
      <c r="H190" s="12">
        <v>1</v>
      </c>
      <c r="I190" s="12">
        <v>0</v>
      </c>
    </row>
    <row r="191" spans="1:9">
      <c r="A191" s="3" t="s">
        <v>69</v>
      </c>
      <c r="B191" s="5" t="s">
        <v>15</v>
      </c>
      <c r="C191" s="5" t="s">
        <v>18</v>
      </c>
      <c r="D191" s="12">
        <v>0</v>
      </c>
      <c r="E191" s="12">
        <v>0</v>
      </c>
      <c r="F191" s="12">
        <v>0</v>
      </c>
      <c r="G191" s="12">
        <v>0</v>
      </c>
      <c r="H191" s="12">
        <v>1</v>
      </c>
      <c r="I191" s="12">
        <v>0</v>
      </c>
    </row>
    <row r="192" spans="1:9">
      <c r="A192" s="3" t="s">
        <v>69</v>
      </c>
      <c r="B192" s="5" t="s">
        <v>15</v>
      </c>
      <c r="C192" s="5" t="s">
        <v>18</v>
      </c>
      <c r="D192" s="12">
        <v>0</v>
      </c>
      <c r="E192" s="12">
        <v>0</v>
      </c>
      <c r="F192" s="12">
        <v>0</v>
      </c>
      <c r="G192" s="12">
        <v>0</v>
      </c>
      <c r="H192" s="12">
        <v>1</v>
      </c>
      <c r="I192" s="12">
        <v>0</v>
      </c>
    </row>
    <row r="193" spans="1:9">
      <c r="A193" s="3" t="s">
        <v>69</v>
      </c>
      <c r="B193" s="5" t="s">
        <v>15</v>
      </c>
      <c r="C193" s="5" t="s">
        <v>18</v>
      </c>
      <c r="D193" s="12">
        <v>0</v>
      </c>
      <c r="E193" s="12">
        <v>0</v>
      </c>
      <c r="F193" s="12">
        <v>0</v>
      </c>
      <c r="G193" s="12">
        <v>0</v>
      </c>
      <c r="H193" s="12">
        <v>1</v>
      </c>
      <c r="I193" s="12">
        <v>0</v>
      </c>
    </row>
    <row r="194" spans="1:9">
      <c r="A194" s="3" t="s">
        <v>70</v>
      </c>
      <c r="B194" s="5" t="s">
        <v>27</v>
      </c>
      <c r="C194" s="5" t="s">
        <v>16</v>
      </c>
      <c r="D194" s="12">
        <v>1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</row>
    <row r="195" spans="1:9">
      <c r="A195" s="3" t="s">
        <v>70</v>
      </c>
      <c r="B195" s="5" t="s">
        <v>27</v>
      </c>
      <c r="C195" s="5" t="s">
        <v>16</v>
      </c>
      <c r="D195" s="12">
        <v>1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</row>
    <row r="196" spans="1:9">
      <c r="A196" s="3" t="s">
        <v>70</v>
      </c>
      <c r="B196" s="5" t="s">
        <v>27</v>
      </c>
      <c r="C196" s="5" t="s">
        <v>16</v>
      </c>
      <c r="D196" s="12">
        <v>1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</row>
    <row r="197" spans="1:9">
      <c r="A197" s="3" t="s">
        <v>70</v>
      </c>
      <c r="B197" s="5" t="s">
        <v>27</v>
      </c>
      <c r="C197" s="5" t="s">
        <v>16</v>
      </c>
      <c r="D197" s="12">
        <v>1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</row>
    <row r="198" spans="1:9">
      <c r="A198" s="3" t="s">
        <v>71</v>
      </c>
      <c r="B198" s="5" t="s">
        <v>20</v>
      </c>
      <c r="C198" s="5" t="s">
        <v>16</v>
      </c>
      <c r="D198" s="12">
        <v>0</v>
      </c>
      <c r="E198" s="12">
        <v>1</v>
      </c>
      <c r="F198" s="12">
        <v>0</v>
      </c>
      <c r="G198" s="12">
        <v>0</v>
      </c>
      <c r="H198" s="12">
        <v>0</v>
      </c>
      <c r="I198" s="12">
        <v>0</v>
      </c>
    </row>
    <row r="199" spans="1:9">
      <c r="A199" s="3" t="s">
        <v>71</v>
      </c>
      <c r="B199" s="5" t="s">
        <v>20</v>
      </c>
      <c r="C199" s="5" t="s">
        <v>16</v>
      </c>
      <c r="D199" s="12">
        <v>0</v>
      </c>
      <c r="E199" s="12">
        <v>1</v>
      </c>
      <c r="F199" s="12">
        <v>0</v>
      </c>
      <c r="G199" s="12">
        <v>0</v>
      </c>
      <c r="H199" s="12">
        <v>0</v>
      </c>
      <c r="I199" s="12">
        <v>0</v>
      </c>
    </row>
    <row r="200" spans="1:9">
      <c r="A200" s="3" t="s">
        <v>71</v>
      </c>
      <c r="B200" s="5" t="s">
        <v>20</v>
      </c>
      <c r="C200" s="5" t="s">
        <v>16</v>
      </c>
      <c r="D200" s="12">
        <v>0</v>
      </c>
      <c r="E200" s="12">
        <v>1</v>
      </c>
      <c r="F200" s="12">
        <v>0</v>
      </c>
      <c r="G200" s="12">
        <v>0</v>
      </c>
      <c r="H200" s="12">
        <v>0</v>
      </c>
      <c r="I200" s="12">
        <v>0</v>
      </c>
    </row>
    <row r="201" spans="1:9">
      <c r="A201" s="3" t="s">
        <v>71</v>
      </c>
      <c r="B201" s="5" t="s">
        <v>20</v>
      </c>
      <c r="C201" s="5" t="s">
        <v>16</v>
      </c>
      <c r="D201" s="12">
        <v>0</v>
      </c>
      <c r="E201" s="12">
        <v>1</v>
      </c>
      <c r="F201" s="12">
        <v>0</v>
      </c>
      <c r="G201" s="12">
        <v>0</v>
      </c>
      <c r="H201" s="12">
        <v>0</v>
      </c>
      <c r="I201" s="12">
        <v>0</v>
      </c>
    </row>
    <row r="202" spans="1:9">
      <c r="A202" s="3" t="s">
        <v>72</v>
      </c>
      <c r="B202" s="5" t="s">
        <v>15</v>
      </c>
      <c r="C202" s="5" t="s">
        <v>21</v>
      </c>
      <c r="D202" s="12">
        <v>0</v>
      </c>
      <c r="E202" s="12">
        <v>0</v>
      </c>
      <c r="F202" s="12">
        <v>0</v>
      </c>
      <c r="G202" s="12">
        <v>1</v>
      </c>
      <c r="H202" s="12">
        <v>0</v>
      </c>
      <c r="I202" s="12">
        <v>0</v>
      </c>
    </row>
    <row r="203" spans="1:9">
      <c r="A203" s="3" t="s">
        <v>72</v>
      </c>
      <c r="B203" s="5" t="s">
        <v>15</v>
      </c>
      <c r="C203" s="5" t="s">
        <v>21</v>
      </c>
      <c r="D203" s="12">
        <v>0</v>
      </c>
      <c r="E203" s="12">
        <v>0</v>
      </c>
      <c r="F203" s="12">
        <v>0</v>
      </c>
      <c r="G203" s="12">
        <v>1</v>
      </c>
      <c r="H203" s="12">
        <v>0</v>
      </c>
      <c r="I203" s="12">
        <v>0</v>
      </c>
    </row>
    <row r="204" spans="1:9">
      <c r="A204" s="3" t="s">
        <v>72</v>
      </c>
      <c r="B204" s="5" t="s">
        <v>15</v>
      </c>
      <c r="C204" s="5" t="s">
        <v>21</v>
      </c>
      <c r="D204" s="12">
        <v>0</v>
      </c>
      <c r="E204" s="12">
        <v>0</v>
      </c>
      <c r="F204" s="12">
        <v>0</v>
      </c>
      <c r="G204" s="12">
        <v>1</v>
      </c>
      <c r="H204" s="12">
        <v>0</v>
      </c>
      <c r="I204" s="12">
        <v>0</v>
      </c>
    </row>
    <row r="205" spans="1:9">
      <c r="A205" s="3" t="s">
        <v>72</v>
      </c>
      <c r="B205" s="5" t="s">
        <v>15</v>
      </c>
      <c r="C205" s="5" t="s">
        <v>21</v>
      </c>
      <c r="D205" s="12">
        <v>0</v>
      </c>
      <c r="E205" s="12">
        <v>0</v>
      </c>
      <c r="F205" s="12">
        <v>0</v>
      </c>
      <c r="G205" s="12">
        <v>1</v>
      </c>
      <c r="H205" s="12">
        <v>0</v>
      </c>
      <c r="I205" s="12">
        <v>0</v>
      </c>
    </row>
    <row r="206" spans="1:9">
      <c r="A206" s="3" t="s">
        <v>73</v>
      </c>
      <c r="B206" s="5" t="s">
        <v>15</v>
      </c>
      <c r="C206" s="5" t="s">
        <v>28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1</v>
      </c>
    </row>
    <row r="207" spans="1:9">
      <c r="A207" s="3" t="s">
        <v>73</v>
      </c>
      <c r="B207" s="5" t="s">
        <v>15</v>
      </c>
      <c r="C207" s="5" t="s">
        <v>28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1</v>
      </c>
    </row>
    <row r="208" spans="1:9">
      <c r="A208" s="3" t="s">
        <v>73</v>
      </c>
      <c r="B208" s="5" t="s">
        <v>15</v>
      </c>
      <c r="C208" s="5" t="s">
        <v>28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1</v>
      </c>
    </row>
    <row r="209" spans="1:9">
      <c r="A209" s="3" t="s">
        <v>73</v>
      </c>
      <c r="B209" s="5" t="s">
        <v>15</v>
      </c>
      <c r="C209" s="5" t="s">
        <v>28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1</v>
      </c>
    </row>
    <row r="210" spans="1:9">
      <c r="A210" s="3" t="s">
        <v>74</v>
      </c>
      <c r="B210" s="5" t="s">
        <v>15</v>
      </c>
      <c r="C210" s="5" t="s">
        <v>18</v>
      </c>
      <c r="D210" s="12">
        <v>0</v>
      </c>
      <c r="E210" s="12">
        <v>0</v>
      </c>
      <c r="F210" s="12">
        <v>0</v>
      </c>
      <c r="G210" s="12">
        <v>0</v>
      </c>
      <c r="H210" s="12">
        <v>1</v>
      </c>
      <c r="I210" s="12">
        <v>0</v>
      </c>
    </row>
    <row r="211" spans="1:9">
      <c r="A211" s="3" t="s">
        <v>74</v>
      </c>
      <c r="B211" s="5" t="s">
        <v>15</v>
      </c>
      <c r="C211" s="5" t="s">
        <v>18</v>
      </c>
      <c r="D211" s="12">
        <v>0</v>
      </c>
      <c r="E211" s="12">
        <v>0</v>
      </c>
      <c r="F211" s="12">
        <v>0</v>
      </c>
      <c r="G211" s="12">
        <v>0</v>
      </c>
      <c r="H211" s="12">
        <v>1</v>
      </c>
      <c r="I211" s="12">
        <v>0</v>
      </c>
    </row>
    <row r="212" spans="1:9">
      <c r="A212" s="3" t="s">
        <v>74</v>
      </c>
      <c r="B212" s="5" t="s">
        <v>15</v>
      </c>
      <c r="C212" s="5" t="s">
        <v>18</v>
      </c>
      <c r="D212" s="12">
        <v>0</v>
      </c>
      <c r="E212" s="12">
        <v>0</v>
      </c>
      <c r="F212" s="12">
        <v>0</v>
      </c>
      <c r="G212" s="12">
        <v>0</v>
      </c>
      <c r="H212" s="12">
        <v>1</v>
      </c>
      <c r="I212" s="12">
        <v>0</v>
      </c>
    </row>
    <row r="213" spans="1:9">
      <c r="A213" s="3" t="s">
        <v>74</v>
      </c>
      <c r="B213" s="5" t="s">
        <v>15</v>
      </c>
      <c r="C213" s="5" t="s">
        <v>18</v>
      </c>
      <c r="D213" s="12">
        <v>0</v>
      </c>
      <c r="E213" s="12">
        <v>0</v>
      </c>
      <c r="F213" s="12">
        <v>0</v>
      </c>
      <c r="G213" s="12">
        <v>0</v>
      </c>
      <c r="H213" s="12">
        <v>1</v>
      </c>
      <c r="I213" s="12">
        <v>0</v>
      </c>
    </row>
    <row r="214" spans="1:9">
      <c r="A214" s="3" t="s">
        <v>75</v>
      </c>
      <c r="B214" s="5" t="s">
        <v>27</v>
      </c>
      <c r="C214" s="5" t="s">
        <v>16</v>
      </c>
      <c r="D214" s="12">
        <v>1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</row>
    <row r="215" spans="1:9">
      <c r="A215" s="3" t="s">
        <v>75</v>
      </c>
      <c r="B215" s="5" t="s">
        <v>27</v>
      </c>
      <c r="C215" s="5" t="s">
        <v>16</v>
      </c>
      <c r="D215" s="12">
        <v>1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</row>
    <row r="216" spans="1:9">
      <c r="A216" s="3" t="s">
        <v>75</v>
      </c>
      <c r="B216" s="5" t="s">
        <v>27</v>
      </c>
      <c r="C216" s="5" t="s">
        <v>16</v>
      </c>
      <c r="D216" s="12">
        <v>1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</row>
    <row r="217" spans="1:9">
      <c r="A217" s="3" t="s">
        <v>75</v>
      </c>
      <c r="B217" s="5" t="s">
        <v>27</v>
      </c>
      <c r="C217" s="5" t="s">
        <v>16</v>
      </c>
      <c r="D217" s="12">
        <v>1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</row>
    <row r="218" spans="1:9">
      <c r="A218" s="3" t="s">
        <v>76</v>
      </c>
      <c r="B218" s="5" t="s">
        <v>20</v>
      </c>
      <c r="C218" s="5" t="s">
        <v>21</v>
      </c>
      <c r="D218" s="12">
        <v>0</v>
      </c>
      <c r="E218" s="12">
        <v>1</v>
      </c>
      <c r="F218" s="12">
        <v>0</v>
      </c>
      <c r="G218" s="12">
        <v>1</v>
      </c>
      <c r="H218" s="12">
        <v>0</v>
      </c>
      <c r="I218" s="12">
        <v>0</v>
      </c>
    </row>
    <row r="219" spans="1:9">
      <c r="A219" s="3" t="s">
        <v>76</v>
      </c>
      <c r="B219" s="5" t="s">
        <v>20</v>
      </c>
      <c r="C219" s="5" t="s">
        <v>21</v>
      </c>
      <c r="D219" s="12">
        <v>0</v>
      </c>
      <c r="E219" s="12">
        <v>1</v>
      </c>
      <c r="F219" s="12">
        <v>0</v>
      </c>
      <c r="G219" s="12">
        <v>1</v>
      </c>
      <c r="H219" s="12">
        <v>0</v>
      </c>
      <c r="I219" s="12">
        <v>0</v>
      </c>
    </row>
    <row r="220" spans="1:9">
      <c r="A220" s="3" t="s">
        <v>76</v>
      </c>
      <c r="B220" s="5" t="s">
        <v>20</v>
      </c>
      <c r="C220" s="5" t="s">
        <v>21</v>
      </c>
      <c r="D220" s="12">
        <v>0</v>
      </c>
      <c r="E220" s="12">
        <v>1</v>
      </c>
      <c r="F220" s="12">
        <v>0</v>
      </c>
      <c r="G220" s="12">
        <v>1</v>
      </c>
      <c r="H220" s="12">
        <v>0</v>
      </c>
      <c r="I220" s="12">
        <v>0</v>
      </c>
    </row>
    <row r="221" spans="1:9">
      <c r="A221" s="3" t="s">
        <v>76</v>
      </c>
      <c r="B221" s="5" t="s">
        <v>20</v>
      </c>
      <c r="C221" s="5" t="s">
        <v>21</v>
      </c>
      <c r="D221" s="12">
        <v>0</v>
      </c>
      <c r="E221" s="12">
        <v>1</v>
      </c>
      <c r="F221" s="12">
        <v>0</v>
      </c>
      <c r="G221" s="12">
        <v>1</v>
      </c>
      <c r="H221" s="12">
        <v>0</v>
      </c>
      <c r="I221" s="12">
        <v>0</v>
      </c>
    </row>
    <row r="222" spans="1:9">
      <c r="A222" s="3" t="s">
        <v>77</v>
      </c>
      <c r="B222" s="5" t="s">
        <v>15</v>
      </c>
      <c r="C222" s="5" t="s">
        <v>18</v>
      </c>
      <c r="D222" s="12">
        <v>0</v>
      </c>
      <c r="E222" s="12">
        <v>0</v>
      </c>
      <c r="F222" s="12">
        <v>0</v>
      </c>
      <c r="G222" s="12">
        <v>0</v>
      </c>
      <c r="H222" s="12">
        <v>1</v>
      </c>
      <c r="I222" s="12">
        <v>0</v>
      </c>
    </row>
    <row r="223" spans="1:9">
      <c r="A223" s="3" t="s">
        <v>77</v>
      </c>
      <c r="B223" s="5" t="s">
        <v>15</v>
      </c>
      <c r="C223" s="5" t="s">
        <v>18</v>
      </c>
      <c r="D223" s="12">
        <v>0</v>
      </c>
      <c r="E223" s="12">
        <v>0</v>
      </c>
      <c r="F223" s="12">
        <v>0</v>
      </c>
      <c r="G223" s="12">
        <v>0</v>
      </c>
      <c r="H223" s="12">
        <v>1</v>
      </c>
      <c r="I223" s="12">
        <v>0</v>
      </c>
    </row>
    <row r="224" spans="1:9">
      <c r="A224" s="3" t="s">
        <v>77</v>
      </c>
      <c r="B224" s="5" t="s">
        <v>15</v>
      </c>
      <c r="C224" s="5" t="s">
        <v>18</v>
      </c>
      <c r="D224" s="12">
        <v>0</v>
      </c>
      <c r="E224" s="12">
        <v>0</v>
      </c>
      <c r="F224" s="12">
        <v>0</v>
      </c>
      <c r="G224" s="12">
        <v>0</v>
      </c>
      <c r="H224" s="12">
        <v>1</v>
      </c>
      <c r="I224" s="12">
        <v>0</v>
      </c>
    </row>
    <row r="225" spans="1:9">
      <c r="A225" s="3" t="s">
        <v>77</v>
      </c>
      <c r="B225" s="5" t="s">
        <v>15</v>
      </c>
      <c r="C225" s="5" t="s">
        <v>18</v>
      </c>
      <c r="D225" s="12">
        <v>0</v>
      </c>
      <c r="E225" s="12">
        <v>0</v>
      </c>
      <c r="F225" s="12">
        <v>0</v>
      </c>
      <c r="G225" s="12">
        <v>0</v>
      </c>
      <c r="H225" s="12">
        <v>1</v>
      </c>
      <c r="I225" s="12">
        <v>0</v>
      </c>
    </row>
    <row r="226" spans="1:9">
      <c r="A226" s="3" t="s">
        <v>78</v>
      </c>
      <c r="B226" s="5" t="s">
        <v>15</v>
      </c>
      <c r="C226" s="5" t="s">
        <v>28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1</v>
      </c>
    </row>
    <row r="227" spans="1:9">
      <c r="A227" s="3" t="s">
        <v>78</v>
      </c>
      <c r="B227" s="5" t="s">
        <v>15</v>
      </c>
      <c r="C227" s="5" t="s">
        <v>28</v>
      </c>
      <c r="D227" s="12">
        <v>0</v>
      </c>
      <c r="E227" s="12">
        <v>0</v>
      </c>
      <c r="F227" s="12">
        <v>0</v>
      </c>
      <c r="G227" s="12">
        <v>0</v>
      </c>
      <c r="H227" s="12">
        <v>0</v>
      </c>
      <c r="I227" s="12">
        <v>1</v>
      </c>
    </row>
    <row r="228" spans="1:9">
      <c r="A228" s="3" t="s">
        <v>78</v>
      </c>
      <c r="B228" s="5" t="s">
        <v>15</v>
      </c>
      <c r="C228" s="5" t="s">
        <v>28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2">
        <v>1</v>
      </c>
    </row>
    <row r="229" spans="1:9">
      <c r="A229" s="3" t="s">
        <v>78</v>
      </c>
      <c r="B229" s="5" t="s">
        <v>15</v>
      </c>
      <c r="C229" s="5" t="s">
        <v>28</v>
      </c>
      <c r="D229" s="12">
        <v>0</v>
      </c>
      <c r="E229" s="12">
        <v>0</v>
      </c>
      <c r="F229" s="12">
        <v>0</v>
      </c>
      <c r="G229" s="12">
        <v>0</v>
      </c>
      <c r="H229" s="12">
        <v>0</v>
      </c>
      <c r="I229" s="12">
        <v>1</v>
      </c>
    </row>
    <row r="230" spans="1:9">
      <c r="A230" s="3" t="s">
        <v>79</v>
      </c>
      <c r="B230" s="5" t="s">
        <v>15</v>
      </c>
      <c r="C230" s="5" t="s">
        <v>18</v>
      </c>
      <c r="D230" s="12">
        <v>0</v>
      </c>
      <c r="E230" s="12">
        <v>0</v>
      </c>
      <c r="F230" s="12">
        <v>0</v>
      </c>
      <c r="G230" s="12">
        <v>0</v>
      </c>
      <c r="H230" s="12">
        <v>1</v>
      </c>
      <c r="I230" s="12">
        <v>0</v>
      </c>
    </row>
    <row r="231" spans="1:9">
      <c r="A231" s="3" t="s">
        <v>79</v>
      </c>
      <c r="B231" s="5" t="s">
        <v>15</v>
      </c>
      <c r="C231" s="5" t="s">
        <v>18</v>
      </c>
      <c r="D231" s="12">
        <v>0</v>
      </c>
      <c r="E231" s="12">
        <v>0</v>
      </c>
      <c r="F231" s="12">
        <v>0</v>
      </c>
      <c r="G231" s="12">
        <v>0</v>
      </c>
      <c r="H231" s="12">
        <v>1</v>
      </c>
      <c r="I231" s="12">
        <v>0</v>
      </c>
    </row>
    <row r="232" spans="1:9">
      <c r="A232" s="3" t="s">
        <v>79</v>
      </c>
      <c r="B232" s="5" t="s">
        <v>15</v>
      </c>
      <c r="C232" s="5" t="s">
        <v>18</v>
      </c>
      <c r="D232" s="12">
        <v>0</v>
      </c>
      <c r="E232" s="12">
        <v>0</v>
      </c>
      <c r="F232" s="12">
        <v>0</v>
      </c>
      <c r="G232" s="12">
        <v>0</v>
      </c>
      <c r="H232" s="12">
        <v>1</v>
      </c>
      <c r="I232" s="12">
        <v>0</v>
      </c>
    </row>
    <row r="233" spans="1:9">
      <c r="A233" s="3" t="s">
        <v>79</v>
      </c>
      <c r="B233" s="5" t="s">
        <v>15</v>
      </c>
      <c r="C233" s="5" t="s">
        <v>18</v>
      </c>
      <c r="D233" s="12">
        <v>0</v>
      </c>
      <c r="E233" s="12">
        <v>0</v>
      </c>
      <c r="F233" s="12">
        <v>0</v>
      </c>
      <c r="G233" s="12">
        <v>0</v>
      </c>
      <c r="H233" s="12">
        <v>1</v>
      </c>
      <c r="I233" s="12">
        <v>0</v>
      </c>
    </row>
    <row r="234" spans="1:9">
      <c r="A234" s="3" t="s">
        <v>80</v>
      </c>
      <c r="B234" s="5" t="s">
        <v>27</v>
      </c>
      <c r="C234" s="5" t="s">
        <v>16</v>
      </c>
      <c r="D234" s="12">
        <v>1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</row>
    <row r="235" spans="1:9">
      <c r="A235" s="3" t="s">
        <v>80</v>
      </c>
      <c r="B235" s="5" t="s">
        <v>27</v>
      </c>
      <c r="C235" s="5" t="s">
        <v>16</v>
      </c>
      <c r="D235" s="12">
        <v>1</v>
      </c>
      <c r="E235" s="12">
        <v>0</v>
      </c>
      <c r="F235" s="12">
        <v>0</v>
      </c>
      <c r="G235" s="12">
        <v>0</v>
      </c>
      <c r="H235" s="12">
        <v>0</v>
      </c>
      <c r="I235" s="12">
        <v>0</v>
      </c>
    </row>
    <row r="236" spans="1:9">
      <c r="A236" s="3" t="s">
        <v>80</v>
      </c>
      <c r="B236" s="5" t="s">
        <v>27</v>
      </c>
      <c r="C236" s="5" t="s">
        <v>16</v>
      </c>
      <c r="D236" s="12">
        <v>1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</row>
    <row r="237" spans="1:9">
      <c r="A237" s="3" t="s">
        <v>80</v>
      </c>
      <c r="B237" s="5" t="s">
        <v>27</v>
      </c>
      <c r="C237" s="5" t="s">
        <v>16</v>
      </c>
      <c r="D237" s="12">
        <v>1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</row>
    <row r="238" spans="1:9">
      <c r="A238" s="3" t="s">
        <v>81</v>
      </c>
      <c r="B238" s="5" t="s">
        <v>27</v>
      </c>
      <c r="C238" s="5" t="s">
        <v>28</v>
      </c>
      <c r="D238" s="12">
        <v>1</v>
      </c>
      <c r="E238" s="12">
        <v>0</v>
      </c>
      <c r="F238" s="12">
        <v>0</v>
      </c>
      <c r="G238" s="12">
        <v>0</v>
      </c>
      <c r="H238" s="12">
        <v>0</v>
      </c>
      <c r="I238" s="12">
        <v>1</v>
      </c>
    </row>
    <row r="239" spans="1:9">
      <c r="A239" s="3" t="s">
        <v>81</v>
      </c>
      <c r="B239" s="5" t="s">
        <v>27</v>
      </c>
      <c r="C239" s="5" t="s">
        <v>28</v>
      </c>
      <c r="D239" s="12">
        <v>1</v>
      </c>
      <c r="E239" s="12">
        <v>0</v>
      </c>
      <c r="F239" s="12">
        <v>0</v>
      </c>
      <c r="G239" s="12">
        <v>0</v>
      </c>
      <c r="H239" s="12">
        <v>0</v>
      </c>
      <c r="I239" s="12">
        <v>1</v>
      </c>
    </row>
    <row r="240" spans="1:9">
      <c r="A240" s="3" t="s">
        <v>81</v>
      </c>
      <c r="B240" s="5" t="s">
        <v>27</v>
      </c>
      <c r="C240" s="5" t="s">
        <v>28</v>
      </c>
      <c r="D240" s="12">
        <v>1</v>
      </c>
      <c r="E240" s="12">
        <v>0</v>
      </c>
      <c r="F240" s="12">
        <v>0</v>
      </c>
      <c r="G240" s="12">
        <v>0</v>
      </c>
      <c r="H240" s="12">
        <v>0</v>
      </c>
      <c r="I240" s="12">
        <v>1</v>
      </c>
    </row>
    <row r="241" spans="1:9">
      <c r="A241" s="3" t="s">
        <v>81</v>
      </c>
      <c r="B241" s="5" t="s">
        <v>27</v>
      </c>
      <c r="C241" s="5" t="s">
        <v>28</v>
      </c>
      <c r="D241" s="12">
        <v>1</v>
      </c>
      <c r="E241" s="12">
        <v>0</v>
      </c>
      <c r="F241" s="12">
        <v>0</v>
      </c>
      <c r="G241" s="12">
        <v>0</v>
      </c>
      <c r="H241" s="12">
        <v>0</v>
      </c>
      <c r="I241" s="12">
        <v>1</v>
      </c>
    </row>
    <row r="242" spans="1:9">
      <c r="A242" s="3" t="s">
        <v>82</v>
      </c>
      <c r="B242" s="5" t="s">
        <v>24</v>
      </c>
      <c r="C242" s="5" t="s">
        <v>21</v>
      </c>
      <c r="D242" s="12">
        <v>0</v>
      </c>
      <c r="E242" s="12">
        <v>0</v>
      </c>
      <c r="F242" s="12">
        <v>1</v>
      </c>
      <c r="G242" s="12">
        <v>1</v>
      </c>
      <c r="H242" s="12">
        <v>0</v>
      </c>
      <c r="I242" s="12">
        <v>0</v>
      </c>
    </row>
    <row r="243" spans="1:9">
      <c r="A243" s="3" t="s">
        <v>82</v>
      </c>
      <c r="B243" s="5" t="s">
        <v>24</v>
      </c>
      <c r="C243" s="5" t="s">
        <v>21</v>
      </c>
      <c r="D243" s="12">
        <v>0</v>
      </c>
      <c r="E243" s="12">
        <v>0</v>
      </c>
      <c r="F243" s="12">
        <v>1</v>
      </c>
      <c r="G243" s="12">
        <v>1</v>
      </c>
      <c r="H243" s="12">
        <v>0</v>
      </c>
      <c r="I243" s="12">
        <v>0</v>
      </c>
    </row>
    <row r="244" spans="1:9">
      <c r="A244" s="3" t="s">
        <v>82</v>
      </c>
      <c r="B244" s="5" t="s">
        <v>24</v>
      </c>
      <c r="C244" s="5" t="s">
        <v>21</v>
      </c>
      <c r="D244" s="12">
        <v>0</v>
      </c>
      <c r="E244" s="12">
        <v>0</v>
      </c>
      <c r="F244" s="12">
        <v>1</v>
      </c>
      <c r="G244" s="12">
        <v>1</v>
      </c>
      <c r="H244" s="12">
        <v>0</v>
      </c>
      <c r="I244" s="12">
        <v>0</v>
      </c>
    </row>
    <row r="245" spans="1:9">
      <c r="A245" s="3" t="s">
        <v>82</v>
      </c>
      <c r="B245" s="5" t="s">
        <v>24</v>
      </c>
      <c r="C245" s="5" t="s">
        <v>21</v>
      </c>
      <c r="D245" s="12">
        <v>0</v>
      </c>
      <c r="E245" s="12">
        <v>0</v>
      </c>
      <c r="F245" s="12">
        <v>1</v>
      </c>
      <c r="G245" s="12">
        <v>1</v>
      </c>
      <c r="H245" s="12">
        <v>0</v>
      </c>
      <c r="I245" s="12">
        <v>0</v>
      </c>
    </row>
    <row r="246" spans="1:9">
      <c r="A246" s="3" t="s">
        <v>83</v>
      </c>
      <c r="B246" s="5" t="s">
        <v>15</v>
      </c>
      <c r="C246" s="5" t="s">
        <v>18</v>
      </c>
      <c r="D246" s="12">
        <v>0</v>
      </c>
      <c r="E246" s="12">
        <v>0</v>
      </c>
      <c r="F246" s="12">
        <v>0</v>
      </c>
      <c r="G246" s="12">
        <v>0</v>
      </c>
      <c r="H246" s="12">
        <v>1</v>
      </c>
      <c r="I246" s="12">
        <v>0</v>
      </c>
    </row>
    <row r="247" spans="1:9">
      <c r="A247" s="3" t="s">
        <v>83</v>
      </c>
      <c r="B247" s="5" t="s">
        <v>15</v>
      </c>
      <c r="C247" s="5" t="s">
        <v>18</v>
      </c>
      <c r="D247" s="12">
        <v>0</v>
      </c>
      <c r="E247" s="12">
        <v>0</v>
      </c>
      <c r="F247" s="12">
        <v>0</v>
      </c>
      <c r="G247" s="12">
        <v>0</v>
      </c>
      <c r="H247" s="12">
        <v>1</v>
      </c>
      <c r="I247" s="12">
        <v>0</v>
      </c>
    </row>
    <row r="248" spans="1:9">
      <c r="A248" s="3" t="s">
        <v>83</v>
      </c>
      <c r="B248" s="5" t="s">
        <v>15</v>
      </c>
      <c r="C248" s="5" t="s">
        <v>18</v>
      </c>
      <c r="D248" s="12">
        <v>0</v>
      </c>
      <c r="E248" s="12">
        <v>0</v>
      </c>
      <c r="F248" s="12">
        <v>0</v>
      </c>
      <c r="G248" s="12">
        <v>0</v>
      </c>
      <c r="H248" s="12">
        <v>1</v>
      </c>
      <c r="I248" s="12">
        <v>0</v>
      </c>
    </row>
    <row r="249" spans="1:9">
      <c r="A249" s="3" t="s">
        <v>83</v>
      </c>
      <c r="B249" s="5" t="s">
        <v>15</v>
      </c>
      <c r="C249" s="5" t="s">
        <v>18</v>
      </c>
      <c r="D249" s="12">
        <v>0</v>
      </c>
      <c r="E249" s="12">
        <v>0</v>
      </c>
      <c r="F249" s="12">
        <v>0</v>
      </c>
      <c r="G249" s="12">
        <v>0</v>
      </c>
      <c r="H249" s="12">
        <v>1</v>
      </c>
      <c r="I249" s="12">
        <v>0</v>
      </c>
    </row>
    <row r="250" spans="1:9">
      <c r="A250" s="3" t="s">
        <v>84</v>
      </c>
      <c r="B250" s="5" t="s">
        <v>20</v>
      </c>
      <c r="C250" s="5" t="s">
        <v>18</v>
      </c>
      <c r="D250" s="12">
        <v>0</v>
      </c>
      <c r="E250" s="12">
        <v>1</v>
      </c>
      <c r="F250" s="12">
        <v>0</v>
      </c>
      <c r="G250" s="12">
        <v>0</v>
      </c>
      <c r="H250" s="12">
        <v>1</v>
      </c>
      <c r="I250" s="12">
        <v>0</v>
      </c>
    </row>
    <row r="251" spans="1:9">
      <c r="A251" s="3" t="s">
        <v>84</v>
      </c>
      <c r="B251" s="5" t="s">
        <v>20</v>
      </c>
      <c r="C251" s="5" t="s">
        <v>18</v>
      </c>
      <c r="D251" s="12">
        <v>0</v>
      </c>
      <c r="E251" s="12">
        <v>1</v>
      </c>
      <c r="F251" s="12">
        <v>0</v>
      </c>
      <c r="G251" s="12">
        <v>0</v>
      </c>
      <c r="H251" s="12">
        <v>1</v>
      </c>
      <c r="I251" s="12">
        <v>0</v>
      </c>
    </row>
    <row r="252" spans="1:9">
      <c r="A252" s="3" t="s">
        <v>84</v>
      </c>
      <c r="B252" s="5" t="s">
        <v>20</v>
      </c>
      <c r="C252" s="5" t="s">
        <v>18</v>
      </c>
      <c r="D252" s="12">
        <v>0</v>
      </c>
      <c r="E252" s="12">
        <v>1</v>
      </c>
      <c r="F252" s="12">
        <v>0</v>
      </c>
      <c r="G252" s="12">
        <v>0</v>
      </c>
      <c r="H252" s="12">
        <v>1</v>
      </c>
      <c r="I252" s="12">
        <v>0</v>
      </c>
    </row>
    <row r="253" spans="1:9">
      <c r="A253" s="3" t="s">
        <v>84</v>
      </c>
      <c r="B253" s="5" t="s">
        <v>20</v>
      </c>
      <c r="C253" s="5" t="s">
        <v>18</v>
      </c>
      <c r="D253" s="12">
        <v>0</v>
      </c>
      <c r="E253" s="12">
        <v>1</v>
      </c>
      <c r="F253" s="12">
        <v>0</v>
      </c>
      <c r="G253" s="12">
        <v>0</v>
      </c>
      <c r="H253" s="12">
        <v>1</v>
      </c>
      <c r="I253" s="12">
        <v>0</v>
      </c>
    </row>
    <row r="254" spans="1:9">
      <c r="A254" s="3" t="s">
        <v>85</v>
      </c>
      <c r="B254" s="5" t="s">
        <v>24</v>
      </c>
      <c r="C254" s="5" t="s">
        <v>21</v>
      </c>
      <c r="D254" s="12">
        <v>0</v>
      </c>
      <c r="E254" s="12">
        <v>0</v>
      </c>
      <c r="F254" s="12">
        <v>1</v>
      </c>
      <c r="G254" s="12">
        <v>1</v>
      </c>
      <c r="H254" s="12">
        <v>0</v>
      </c>
      <c r="I254" s="12">
        <v>0</v>
      </c>
    </row>
    <row r="255" spans="1:9">
      <c r="A255" s="3" t="s">
        <v>85</v>
      </c>
      <c r="B255" s="5" t="s">
        <v>24</v>
      </c>
      <c r="C255" s="5" t="s">
        <v>21</v>
      </c>
      <c r="D255" s="12">
        <v>0</v>
      </c>
      <c r="E255" s="12">
        <v>0</v>
      </c>
      <c r="F255" s="12">
        <v>1</v>
      </c>
      <c r="G255" s="12">
        <v>1</v>
      </c>
      <c r="H255" s="12">
        <v>0</v>
      </c>
      <c r="I255" s="12">
        <v>0</v>
      </c>
    </row>
    <row r="256" spans="1:9">
      <c r="A256" s="3" t="s">
        <v>85</v>
      </c>
      <c r="B256" s="5" t="s">
        <v>24</v>
      </c>
      <c r="C256" s="5" t="s">
        <v>21</v>
      </c>
      <c r="D256" s="12">
        <v>0</v>
      </c>
      <c r="E256" s="12">
        <v>0</v>
      </c>
      <c r="F256" s="12">
        <v>1</v>
      </c>
      <c r="G256" s="12">
        <v>1</v>
      </c>
      <c r="H256" s="12">
        <v>0</v>
      </c>
      <c r="I256" s="12">
        <v>0</v>
      </c>
    </row>
    <row r="257" spans="1:9">
      <c r="A257" s="3" t="s">
        <v>85</v>
      </c>
      <c r="B257" s="5" t="s">
        <v>24</v>
      </c>
      <c r="C257" s="5" t="s">
        <v>21</v>
      </c>
      <c r="D257" s="12">
        <v>0</v>
      </c>
      <c r="E257" s="12">
        <v>0</v>
      </c>
      <c r="F257" s="12">
        <v>1</v>
      </c>
      <c r="G257" s="12">
        <v>1</v>
      </c>
      <c r="H257" s="12">
        <v>0</v>
      </c>
      <c r="I257" s="12">
        <v>0</v>
      </c>
    </row>
    <row r="258" spans="1:9">
      <c r="A258" s="3" t="s">
        <v>86</v>
      </c>
      <c r="B258" s="5" t="s">
        <v>24</v>
      </c>
      <c r="C258" s="5" t="s">
        <v>28</v>
      </c>
      <c r="D258" s="12">
        <v>0</v>
      </c>
      <c r="E258" s="12">
        <v>0</v>
      </c>
      <c r="F258" s="12">
        <v>1</v>
      </c>
      <c r="G258" s="12">
        <v>0</v>
      </c>
      <c r="H258" s="12">
        <v>0</v>
      </c>
      <c r="I258" s="12">
        <v>1</v>
      </c>
    </row>
    <row r="259" spans="1:9">
      <c r="A259" s="3" t="s">
        <v>86</v>
      </c>
      <c r="B259" s="5" t="s">
        <v>24</v>
      </c>
      <c r="C259" s="5" t="s">
        <v>28</v>
      </c>
      <c r="D259" s="12">
        <v>0</v>
      </c>
      <c r="E259" s="12">
        <v>0</v>
      </c>
      <c r="F259" s="12">
        <v>1</v>
      </c>
      <c r="G259" s="12">
        <v>0</v>
      </c>
      <c r="H259" s="12">
        <v>0</v>
      </c>
      <c r="I259" s="12">
        <v>1</v>
      </c>
    </row>
    <row r="260" spans="1:9">
      <c r="A260" s="3" t="s">
        <v>86</v>
      </c>
      <c r="B260" s="5" t="s">
        <v>24</v>
      </c>
      <c r="C260" s="5" t="s">
        <v>28</v>
      </c>
      <c r="D260" s="12">
        <v>0</v>
      </c>
      <c r="E260" s="12">
        <v>0</v>
      </c>
      <c r="F260" s="12">
        <v>1</v>
      </c>
      <c r="G260" s="12">
        <v>0</v>
      </c>
      <c r="H260" s="12">
        <v>0</v>
      </c>
      <c r="I260" s="12">
        <v>1</v>
      </c>
    </row>
    <row r="261" spans="1:9">
      <c r="A261" s="3" t="s">
        <v>86</v>
      </c>
      <c r="B261" s="5" t="s">
        <v>24</v>
      </c>
      <c r="C261" s="5" t="s">
        <v>28</v>
      </c>
      <c r="D261" s="12">
        <v>0</v>
      </c>
      <c r="E261" s="12">
        <v>0</v>
      </c>
      <c r="F261" s="12">
        <v>1</v>
      </c>
      <c r="G261" s="12">
        <v>0</v>
      </c>
      <c r="H261" s="12">
        <v>0</v>
      </c>
      <c r="I261" s="12">
        <v>1</v>
      </c>
    </row>
    <row r="262" spans="1:9">
      <c r="A262" s="3" t="s">
        <v>87</v>
      </c>
      <c r="B262" s="5" t="s">
        <v>27</v>
      </c>
      <c r="C262" s="5" t="s">
        <v>18</v>
      </c>
      <c r="D262" s="12">
        <v>1</v>
      </c>
      <c r="E262" s="12">
        <v>0</v>
      </c>
      <c r="F262" s="12">
        <v>0</v>
      </c>
      <c r="G262" s="12">
        <v>0</v>
      </c>
      <c r="H262" s="12">
        <v>1</v>
      </c>
      <c r="I262" s="12">
        <v>0</v>
      </c>
    </row>
    <row r="263" spans="1:9">
      <c r="A263" s="3" t="s">
        <v>87</v>
      </c>
      <c r="B263" s="5" t="s">
        <v>27</v>
      </c>
      <c r="C263" s="5" t="s">
        <v>18</v>
      </c>
      <c r="D263" s="12">
        <v>1</v>
      </c>
      <c r="E263" s="12">
        <v>0</v>
      </c>
      <c r="F263" s="12">
        <v>0</v>
      </c>
      <c r="G263" s="12">
        <v>0</v>
      </c>
      <c r="H263" s="12">
        <v>1</v>
      </c>
      <c r="I263" s="12">
        <v>0</v>
      </c>
    </row>
    <row r="264" spans="1:9">
      <c r="A264" s="3" t="s">
        <v>87</v>
      </c>
      <c r="B264" s="5" t="s">
        <v>27</v>
      </c>
      <c r="C264" s="5" t="s">
        <v>18</v>
      </c>
      <c r="D264" s="12">
        <v>1</v>
      </c>
      <c r="E264" s="12">
        <v>0</v>
      </c>
      <c r="F264" s="12">
        <v>0</v>
      </c>
      <c r="G264" s="12">
        <v>0</v>
      </c>
      <c r="H264" s="12">
        <v>1</v>
      </c>
      <c r="I264" s="12">
        <v>0</v>
      </c>
    </row>
    <row r="265" spans="1:9">
      <c r="A265" s="3" t="s">
        <v>87</v>
      </c>
      <c r="B265" s="5" t="s">
        <v>27</v>
      </c>
      <c r="C265" s="5" t="s">
        <v>18</v>
      </c>
      <c r="D265" s="12">
        <v>1</v>
      </c>
      <c r="E265" s="12">
        <v>0</v>
      </c>
      <c r="F265" s="12">
        <v>0</v>
      </c>
      <c r="G265" s="12">
        <v>0</v>
      </c>
      <c r="H265" s="12">
        <v>1</v>
      </c>
      <c r="I265" s="12">
        <v>0</v>
      </c>
    </row>
    <row r="266" spans="1:9">
      <c r="A266" s="3" t="s">
        <v>88</v>
      </c>
      <c r="B266" s="5" t="s">
        <v>15</v>
      </c>
      <c r="C266" s="5" t="s">
        <v>18</v>
      </c>
      <c r="D266" s="12">
        <v>0</v>
      </c>
      <c r="E266" s="12">
        <v>0</v>
      </c>
      <c r="F266" s="12">
        <v>0</v>
      </c>
      <c r="G266" s="12">
        <v>0</v>
      </c>
      <c r="H266" s="12">
        <v>1</v>
      </c>
      <c r="I266" s="12">
        <v>0</v>
      </c>
    </row>
    <row r="267" spans="1:9">
      <c r="A267" s="3" t="s">
        <v>88</v>
      </c>
      <c r="B267" s="5" t="s">
        <v>15</v>
      </c>
      <c r="C267" s="5" t="s">
        <v>18</v>
      </c>
      <c r="D267" s="12">
        <v>0</v>
      </c>
      <c r="E267" s="12">
        <v>0</v>
      </c>
      <c r="F267" s="12">
        <v>0</v>
      </c>
      <c r="G267" s="12">
        <v>0</v>
      </c>
      <c r="H267" s="12">
        <v>1</v>
      </c>
      <c r="I267" s="12">
        <v>0</v>
      </c>
    </row>
    <row r="268" spans="1:9">
      <c r="A268" s="3" t="s">
        <v>88</v>
      </c>
      <c r="B268" s="5" t="s">
        <v>15</v>
      </c>
      <c r="C268" s="5" t="s">
        <v>18</v>
      </c>
      <c r="D268" s="12">
        <v>0</v>
      </c>
      <c r="E268" s="12">
        <v>0</v>
      </c>
      <c r="F268" s="12">
        <v>0</v>
      </c>
      <c r="G268" s="12">
        <v>0</v>
      </c>
      <c r="H268" s="12">
        <v>1</v>
      </c>
      <c r="I268" s="12">
        <v>0</v>
      </c>
    </row>
    <row r="269" spans="1:9">
      <c r="A269" s="3" t="s">
        <v>88</v>
      </c>
      <c r="B269" s="5" t="s">
        <v>15</v>
      </c>
      <c r="C269" s="5" t="s">
        <v>18</v>
      </c>
      <c r="D269" s="12">
        <v>0</v>
      </c>
      <c r="E269" s="12">
        <v>0</v>
      </c>
      <c r="F269" s="12">
        <v>0</v>
      </c>
      <c r="G269" s="12">
        <v>0</v>
      </c>
      <c r="H269" s="12">
        <v>1</v>
      </c>
      <c r="I269" s="12">
        <v>0</v>
      </c>
    </row>
    <row r="270" spans="1:9">
      <c r="A270" s="3" t="s">
        <v>89</v>
      </c>
      <c r="B270" s="5" t="s">
        <v>15</v>
      </c>
      <c r="C270" s="5" t="s">
        <v>28</v>
      </c>
      <c r="D270" s="12">
        <v>0</v>
      </c>
      <c r="E270" s="12">
        <v>0</v>
      </c>
      <c r="F270" s="12">
        <v>0</v>
      </c>
      <c r="G270" s="12">
        <v>0</v>
      </c>
      <c r="H270" s="12">
        <v>0</v>
      </c>
      <c r="I270" s="12">
        <v>1</v>
      </c>
    </row>
    <row r="271" spans="1:9">
      <c r="A271" s="3" t="s">
        <v>89</v>
      </c>
      <c r="B271" s="5" t="s">
        <v>15</v>
      </c>
      <c r="C271" s="5" t="s">
        <v>28</v>
      </c>
      <c r="D271" s="12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1</v>
      </c>
    </row>
    <row r="272" spans="1:9">
      <c r="A272" s="3" t="s">
        <v>89</v>
      </c>
      <c r="B272" s="5" t="s">
        <v>15</v>
      </c>
      <c r="C272" s="5" t="s">
        <v>28</v>
      </c>
      <c r="D272" s="12">
        <v>0</v>
      </c>
      <c r="E272" s="12">
        <v>0</v>
      </c>
      <c r="F272" s="12">
        <v>0</v>
      </c>
      <c r="G272" s="12">
        <v>0</v>
      </c>
      <c r="H272" s="12">
        <v>0</v>
      </c>
      <c r="I272" s="12">
        <v>1</v>
      </c>
    </row>
    <row r="273" spans="1:9">
      <c r="A273" s="3" t="s">
        <v>89</v>
      </c>
      <c r="B273" s="5" t="s">
        <v>15</v>
      </c>
      <c r="C273" s="5" t="s">
        <v>28</v>
      </c>
      <c r="D273" s="12">
        <v>0</v>
      </c>
      <c r="E273" s="12">
        <v>0</v>
      </c>
      <c r="F273" s="12">
        <v>0</v>
      </c>
      <c r="G273" s="12">
        <v>0</v>
      </c>
      <c r="H273" s="12">
        <v>0</v>
      </c>
      <c r="I273" s="12">
        <v>1</v>
      </c>
    </row>
    <row r="274" spans="1:9">
      <c r="A274" s="3" t="s">
        <v>90</v>
      </c>
      <c r="B274" s="5" t="s">
        <v>27</v>
      </c>
      <c r="C274" s="5" t="s">
        <v>18</v>
      </c>
      <c r="D274" s="12">
        <v>1</v>
      </c>
      <c r="E274" s="12">
        <v>0</v>
      </c>
      <c r="F274" s="12">
        <v>0</v>
      </c>
      <c r="G274" s="12">
        <v>0</v>
      </c>
      <c r="H274" s="12">
        <v>1</v>
      </c>
      <c r="I274" s="12">
        <v>0</v>
      </c>
    </row>
    <row r="275" spans="1:9">
      <c r="A275" s="3" t="s">
        <v>90</v>
      </c>
      <c r="B275" s="5" t="s">
        <v>27</v>
      </c>
      <c r="C275" s="5" t="s">
        <v>18</v>
      </c>
      <c r="D275" s="12">
        <v>1</v>
      </c>
      <c r="E275" s="12">
        <v>0</v>
      </c>
      <c r="F275" s="12">
        <v>0</v>
      </c>
      <c r="G275" s="12">
        <v>0</v>
      </c>
      <c r="H275" s="12">
        <v>1</v>
      </c>
      <c r="I275" s="12">
        <v>0</v>
      </c>
    </row>
    <row r="276" spans="1:9">
      <c r="A276" s="3" t="s">
        <v>90</v>
      </c>
      <c r="B276" s="5" t="s">
        <v>27</v>
      </c>
      <c r="C276" s="5" t="s">
        <v>18</v>
      </c>
      <c r="D276" s="12">
        <v>1</v>
      </c>
      <c r="E276" s="12">
        <v>0</v>
      </c>
      <c r="F276" s="12">
        <v>0</v>
      </c>
      <c r="G276" s="12">
        <v>0</v>
      </c>
      <c r="H276" s="12">
        <v>1</v>
      </c>
      <c r="I276" s="12">
        <v>0</v>
      </c>
    </row>
    <row r="277" spans="1:9">
      <c r="A277" s="3" t="s">
        <v>90</v>
      </c>
      <c r="B277" s="5" t="s">
        <v>27</v>
      </c>
      <c r="C277" s="5" t="s">
        <v>18</v>
      </c>
      <c r="D277" s="12">
        <v>1</v>
      </c>
      <c r="E277" s="12">
        <v>0</v>
      </c>
      <c r="F277" s="12">
        <v>0</v>
      </c>
      <c r="G277" s="12">
        <v>0</v>
      </c>
      <c r="H277" s="12">
        <v>1</v>
      </c>
      <c r="I277" s="12">
        <v>0</v>
      </c>
    </row>
    <row r="278" spans="1:9">
      <c r="A278" s="3" t="s">
        <v>91</v>
      </c>
      <c r="B278" s="5" t="s">
        <v>24</v>
      </c>
      <c r="C278" s="5" t="s">
        <v>16</v>
      </c>
      <c r="D278" s="12">
        <v>0</v>
      </c>
      <c r="E278" s="12">
        <v>0</v>
      </c>
      <c r="F278" s="12">
        <v>1</v>
      </c>
      <c r="G278" s="12">
        <v>0</v>
      </c>
      <c r="H278" s="12">
        <v>0</v>
      </c>
      <c r="I278" s="12">
        <v>0</v>
      </c>
    </row>
    <row r="279" spans="1:9">
      <c r="A279" s="3" t="s">
        <v>91</v>
      </c>
      <c r="B279" s="5" t="s">
        <v>24</v>
      </c>
      <c r="C279" s="5" t="s">
        <v>16</v>
      </c>
      <c r="D279" s="12">
        <v>0</v>
      </c>
      <c r="E279" s="12">
        <v>0</v>
      </c>
      <c r="F279" s="12">
        <v>1</v>
      </c>
      <c r="G279" s="12">
        <v>0</v>
      </c>
      <c r="H279" s="12">
        <v>0</v>
      </c>
      <c r="I279" s="12">
        <v>0</v>
      </c>
    </row>
    <row r="280" spans="1:9">
      <c r="A280" s="3" t="s">
        <v>91</v>
      </c>
      <c r="B280" s="5" t="s">
        <v>24</v>
      </c>
      <c r="C280" s="5" t="s">
        <v>16</v>
      </c>
      <c r="D280" s="12">
        <v>0</v>
      </c>
      <c r="E280" s="12">
        <v>0</v>
      </c>
      <c r="F280" s="12">
        <v>1</v>
      </c>
      <c r="G280" s="12">
        <v>0</v>
      </c>
      <c r="H280" s="12">
        <v>0</v>
      </c>
      <c r="I280" s="12">
        <v>0</v>
      </c>
    </row>
    <row r="281" spans="1:9">
      <c r="A281" s="3" t="s">
        <v>91</v>
      </c>
      <c r="B281" s="5" t="s">
        <v>24</v>
      </c>
      <c r="C281" s="5" t="s">
        <v>16</v>
      </c>
      <c r="D281" s="12">
        <v>0</v>
      </c>
      <c r="E281" s="12">
        <v>0</v>
      </c>
      <c r="F281" s="12">
        <v>1</v>
      </c>
      <c r="G281" s="12">
        <v>0</v>
      </c>
      <c r="H281" s="12">
        <v>0</v>
      </c>
      <c r="I281" s="12">
        <v>0</v>
      </c>
    </row>
    <row r="282" spans="1:9">
      <c r="A282" s="3" t="s">
        <v>92</v>
      </c>
      <c r="B282" s="5" t="s">
        <v>24</v>
      </c>
      <c r="C282" s="5" t="s">
        <v>18</v>
      </c>
      <c r="D282" s="12">
        <v>0</v>
      </c>
      <c r="E282" s="12">
        <v>0</v>
      </c>
      <c r="F282" s="12">
        <v>1</v>
      </c>
      <c r="G282" s="12">
        <v>0</v>
      </c>
      <c r="H282" s="12">
        <v>1</v>
      </c>
      <c r="I282" s="12">
        <v>0</v>
      </c>
    </row>
    <row r="283" spans="1:9">
      <c r="A283" s="3" t="s">
        <v>92</v>
      </c>
      <c r="B283" s="5" t="s">
        <v>24</v>
      </c>
      <c r="C283" s="5" t="s">
        <v>18</v>
      </c>
      <c r="D283" s="12">
        <v>0</v>
      </c>
      <c r="E283" s="12">
        <v>0</v>
      </c>
      <c r="F283" s="12">
        <v>1</v>
      </c>
      <c r="G283" s="12">
        <v>0</v>
      </c>
      <c r="H283" s="12">
        <v>1</v>
      </c>
      <c r="I283" s="12">
        <v>0</v>
      </c>
    </row>
    <row r="284" spans="1:9">
      <c r="A284" s="3" t="s">
        <v>92</v>
      </c>
      <c r="B284" s="5" t="s">
        <v>24</v>
      </c>
      <c r="C284" s="5" t="s">
        <v>18</v>
      </c>
      <c r="D284" s="12">
        <v>0</v>
      </c>
      <c r="E284" s="12">
        <v>0</v>
      </c>
      <c r="F284" s="12">
        <v>1</v>
      </c>
      <c r="G284" s="12">
        <v>0</v>
      </c>
      <c r="H284" s="12">
        <v>1</v>
      </c>
      <c r="I284" s="12">
        <v>0</v>
      </c>
    </row>
    <row r="285" spans="1:9">
      <c r="A285" s="3" t="s">
        <v>92</v>
      </c>
      <c r="B285" s="5" t="s">
        <v>24</v>
      </c>
      <c r="C285" s="5" t="s">
        <v>18</v>
      </c>
      <c r="D285" s="12">
        <v>0</v>
      </c>
      <c r="E285" s="12">
        <v>0</v>
      </c>
      <c r="F285" s="12">
        <v>1</v>
      </c>
      <c r="G285" s="12">
        <v>0</v>
      </c>
      <c r="H285" s="12">
        <v>1</v>
      </c>
      <c r="I285" s="12">
        <v>0</v>
      </c>
    </row>
    <row r="286" spans="1:9">
      <c r="A286" s="3" t="s">
        <v>93</v>
      </c>
      <c r="B286" s="5" t="s">
        <v>27</v>
      </c>
      <c r="C286" s="5" t="s">
        <v>16</v>
      </c>
      <c r="D286" s="12">
        <v>1</v>
      </c>
      <c r="E286" s="12">
        <v>0</v>
      </c>
      <c r="F286" s="12">
        <v>0</v>
      </c>
      <c r="G286" s="12">
        <v>0</v>
      </c>
      <c r="H286" s="12">
        <v>0</v>
      </c>
      <c r="I286" s="12">
        <v>0</v>
      </c>
    </row>
    <row r="287" spans="1:9">
      <c r="A287" s="3" t="s">
        <v>93</v>
      </c>
      <c r="B287" s="5" t="s">
        <v>27</v>
      </c>
      <c r="C287" s="5" t="s">
        <v>16</v>
      </c>
      <c r="D287" s="12">
        <v>1</v>
      </c>
      <c r="E287" s="12">
        <v>0</v>
      </c>
      <c r="F287" s="12">
        <v>0</v>
      </c>
      <c r="G287" s="12">
        <v>0</v>
      </c>
      <c r="H287" s="12">
        <v>0</v>
      </c>
      <c r="I287" s="12">
        <v>0</v>
      </c>
    </row>
    <row r="288" spans="1:9">
      <c r="A288" s="3" t="s">
        <v>93</v>
      </c>
      <c r="B288" s="5" t="s">
        <v>27</v>
      </c>
      <c r="C288" s="5" t="s">
        <v>16</v>
      </c>
      <c r="D288" s="12">
        <v>1</v>
      </c>
      <c r="E288" s="12">
        <v>0</v>
      </c>
      <c r="F288" s="12">
        <v>0</v>
      </c>
      <c r="G288" s="12">
        <v>0</v>
      </c>
      <c r="H288" s="12">
        <v>0</v>
      </c>
      <c r="I288" s="12">
        <v>0</v>
      </c>
    </row>
    <row r="289" spans="1:9">
      <c r="A289" s="3" t="s">
        <v>93</v>
      </c>
      <c r="B289" s="5" t="s">
        <v>27</v>
      </c>
      <c r="C289" s="5" t="s">
        <v>16</v>
      </c>
      <c r="D289" s="12">
        <v>1</v>
      </c>
      <c r="E289" s="12">
        <v>0</v>
      </c>
      <c r="F289" s="12">
        <v>0</v>
      </c>
      <c r="G289" s="12">
        <v>0</v>
      </c>
      <c r="H289" s="12">
        <v>0</v>
      </c>
      <c r="I289" s="12">
        <v>0</v>
      </c>
    </row>
    <row r="290" spans="1:9">
      <c r="A290" s="3" t="s">
        <v>94</v>
      </c>
      <c r="B290" s="5" t="s">
        <v>15</v>
      </c>
      <c r="C290" s="5" t="s">
        <v>16</v>
      </c>
      <c r="D290" s="12">
        <v>0</v>
      </c>
      <c r="E290" s="12">
        <v>0</v>
      </c>
      <c r="F290" s="12">
        <v>0</v>
      </c>
      <c r="G290" s="12">
        <v>0</v>
      </c>
      <c r="H290" s="12">
        <v>0</v>
      </c>
      <c r="I290" s="12">
        <v>0</v>
      </c>
    </row>
    <row r="291" spans="1:9">
      <c r="A291" s="3" t="s">
        <v>94</v>
      </c>
      <c r="B291" s="5" t="s">
        <v>15</v>
      </c>
      <c r="C291" s="5" t="s">
        <v>16</v>
      </c>
      <c r="D291" s="12">
        <v>0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</row>
    <row r="292" spans="1:9">
      <c r="A292" s="3" t="s">
        <v>94</v>
      </c>
      <c r="B292" s="5" t="s">
        <v>15</v>
      </c>
      <c r="C292" s="5" t="s">
        <v>16</v>
      </c>
      <c r="D292" s="12">
        <v>0</v>
      </c>
      <c r="E292" s="12">
        <v>0</v>
      </c>
      <c r="F292" s="12">
        <v>0</v>
      </c>
      <c r="G292" s="12">
        <v>0</v>
      </c>
      <c r="H292" s="12">
        <v>0</v>
      </c>
      <c r="I292" s="12">
        <v>0</v>
      </c>
    </row>
    <row r="293" spans="1:9">
      <c r="A293" s="3" t="s">
        <v>94</v>
      </c>
      <c r="B293" s="5" t="s">
        <v>15</v>
      </c>
      <c r="C293" s="5" t="s">
        <v>16</v>
      </c>
      <c r="D293" s="12">
        <v>0</v>
      </c>
      <c r="E293" s="12">
        <v>0</v>
      </c>
      <c r="F293" s="12">
        <v>0</v>
      </c>
      <c r="G293" s="12">
        <v>0</v>
      </c>
      <c r="H293" s="12">
        <v>0</v>
      </c>
      <c r="I293" s="12">
        <v>0</v>
      </c>
    </row>
    <row r="294" spans="1:9">
      <c r="A294" s="3" t="s">
        <v>95</v>
      </c>
      <c r="B294" s="5" t="s">
        <v>27</v>
      </c>
      <c r="C294" s="5" t="s">
        <v>18</v>
      </c>
      <c r="D294" s="12">
        <v>1</v>
      </c>
      <c r="E294" s="12">
        <v>0</v>
      </c>
      <c r="F294" s="12">
        <v>0</v>
      </c>
      <c r="G294" s="12">
        <v>0</v>
      </c>
      <c r="H294" s="12">
        <v>1</v>
      </c>
      <c r="I294" s="12">
        <v>0</v>
      </c>
    </row>
    <row r="295" spans="1:9">
      <c r="A295" s="3" t="s">
        <v>95</v>
      </c>
      <c r="B295" s="5" t="s">
        <v>27</v>
      </c>
      <c r="C295" s="5" t="s">
        <v>18</v>
      </c>
      <c r="D295" s="12">
        <v>1</v>
      </c>
      <c r="E295" s="12">
        <v>0</v>
      </c>
      <c r="F295" s="12">
        <v>0</v>
      </c>
      <c r="G295" s="12">
        <v>0</v>
      </c>
      <c r="H295" s="12">
        <v>1</v>
      </c>
      <c r="I295" s="12">
        <v>0</v>
      </c>
    </row>
    <row r="296" spans="1:9">
      <c r="A296" s="3" t="s">
        <v>95</v>
      </c>
      <c r="B296" s="5" t="s">
        <v>27</v>
      </c>
      <c r="C296" s="5" t="s">
        <v>18</v>
      </c>
      <c r="D296" s="12">
        <v>1</v>
      </c>
      <c r="E296" s="12">
        <v>0</v>
      </c>
      <c r="F296" s="12">
        <v>0</v>
      </c>
      <c r="G296" s="12">
        <v>0</v>
      </c>
      <c r="H296" s="12">
        <v>1</v>
      </c>
      <c r="I296" s="12">
        <v>0</v>
      </c>
    </row>
    <row r="297" spans="1:9">
      <c r="A297" s="3" t="s">
        <v>95</v>
      </c>
      <c r="B297" s="5" t="s">
        <v>27</v>
      </c>
      <c r="C297" s="5" t="s">
        <v>18</v>
      </c>
      <c r="D297" s="12">
        <v>1</v>
      </c>
      <c r="E297" s="12">
        <v>0</v>
      </c>
      <c r="F297" s="12">
        <v>0</v>
      </c>
      <c r="G297" s="12">
        <v>0</v>
      </c>
      <c r="H297" s="12">
        <v>1</v>
      </c>
      <c r="I297" s="12">
        <v>0</v>
      </c>
    </row>
    <row r="298" spans="1:9">
      <c r="A298" s="3" t="s">
        <v>96</v>
      </c>
      <c r="B298" s="5" t="s">
        <v>27</v>
      </c>
      <c r="C298" s="5" t="s">
        <v>18</v>
      </c>
      <c r="D298" s="12">
        <v>1</v>
      </c>
      <c r="E298" s="12">
        <v>0</v>
      </c>
      <c r="F298" s="12">
        <v>0</v>
      </c>
      <c r="G298" s="12">
        <v>0</v>
      </c>
      <c r="H298" s="12">
        <v>1</v>
      </c>
      <c r="I298" s="12">
        <v>0</v>
      </c>
    </row>
    <row r="299" spans="1:9">
      <c r="A299" s="3" t="s">
        <v>96</v>
      </c>
      <c r="B299" s="5" t="s">
        <v>27</v>
      </c>
      <c r="C299" s="5" t="s">
        <v>18</v>
      </c>
      <c r="D299" s="12">
        <v>1</v>
      </c>
      <c r="E299" s="12">
        <v>0</v>
      </c>
      <c r="F299" s="12">
        <v>0</v>
      </c>
      <c r="G299" s="12">
        <v>0</v>
      </c>
      <c r="H299" s="12">
        <v>1</v>
      </c>
      <c r="I299" s="12">
        <v>0</v>
      </c>
    </row>
    <row r="300" spans="1:9">
      <c r="A300" s="3" t="s">
        <v>96</v>
      </c>
      <c r="B300" s="5" t="s">
        <v>27</v>
      </c>
      <c r="C300" s="5" t="s">
        <v>18</v>
      </c>
      <c r="D300" s="12">
        <v>1</v>
      </c>
      <c r="E300" s="12">
        <v>0</v>
      </c>
      <c r="F300" s="12">
        <v>0</v>
      </c>
      <c r="G300" s="12">
        <v>0</v>
      </c>
      <c r="H300" s="12">
        <v>1</v>
      </c>
      <c r="I300" s="12">
        <v>0</v>
      </c>
    </row>
    <row r="301" spans="1:9">
      <c r="A301" s="3" t="s">
        <v>96</v>
      </c>
      <c r="B301" s="5" t="s">
        <v>27</v>
      </c>
      <c r="C301" s="5" t="s">
        <v>18</v>
      </c>
      <c r="D301" s="12">
        <v>1</v>
      </c>
      <c r="E301" s="12">
        <v>0</v>
      </c>
      <c r="F301" s="12">
        <v>0</v>
      </c>
      <c r="G301" s="12">
        <v>0</v>
      </c>
      <c r="H301" s="12">
        <v>1</v>
      </c>
      <c r="I301" s="12">
        <v>0</v>
      </c>
    </row>
    <row r="302" spans="1:9">
      <c r="A302" s="3" t="s">
        <v>97</v>
      </c>
      <c r="B302" s="5" t="s">
        <v>20</v>
      </c>
      <c r="C302" s="5" t="s">
        <v>28</v>
      </c>
      <c r="D302" s="12">
        <v>0</v>
      </c>
      <c r="E302" s="12">
        <v>1</v>
      </c>
      <c r="F302" s="12">
        <v>0</v>
      </c>
      <c r="G302" s="12">
        <v>0</v>
      </c>
      <c r="H302" s="12">
        <v>0</v>
      </c>
      <c r="I302" s="12">
        <v>1</v>
      </c>
    </row>
    <row r="303" spans="1:9">
      <c r="A303" s="3" t="s">
        <v>97</v>
      </c>
      <c r="B303" s="5" t="s">
        <v>20</v>
      </c>
      <c r="C303" s="5" t="s">
        <v>28</v>
      </c>
      <c r="D303" s="12">
        <v>0</v>
      </c>
      <c r="E303" s="12">
        <v>1</v>
      </c>
      <c r="F303" s="12">
        <v>0</v>
      </c>
      <c r="G303" s="12">
        <v>0</v>
      </c>
      <c r="H303" s="12">
        <v>0</v>
      </c>
      <c r="I303" s="12">
        <v>1</v>
      </c>
    </row>
    <row r="304" spans="1:9">
      <c r="A304" s="3" t="s">
        <v>97</v>
      </c>
      <c r="B304" s="5" t="s">
        <v>20</v>
      </c>
      <c r="C304" s="5" t="s">
        <v>28</v>
      </c>
      <c r="D304" s="12">
        <v>0</v>
      </c>
      <c r="E304" s="12">
        <v>1</v>
      </c>
      <c r="F304" s="12">
        <v>0</v>
      </c>
      <c r="G304" s="12">
        <v>0</v>
      </c>
      <c r="H304" s="12">
        <v>0</v>
      </c>
      <c r="I304" s="12">
        <v>1</v>
      </c>
    </row>
    <row r="305" spans="1:9">
      <c r="A305" s="3" t="s">
        <v>97</v>
      </c>
      <c r="B305" s="5" t="s">
        <v>20</v>
      </c>
      <c r="C305" s="5" t="s">
        <v>28</v>
      </c>
      <c r="D305" s="12">
        <v>0</v>
      </c>
      <c r="E305" s="12">
        <v>1</v>
      </c>
      <c r="F305" s="12">
        <v>0</v>
      </c>
      <c r="G305" s="12">
        <v>0</v>
      </c>
      <c r="H305" s="12">
        <v>0</v>
      </c>
      <c r="I305" s="12">
        <v>1</v>
      </c>
    </row>
    <row r="306" spans="1:9">
      <c r="A306" s="3" t="s">
        <v>98</v>
      </c>
      <c r="B306" s="5" t="s">
        <v>24</v>
      </c>
      <c r="C306" s="5" t="s">
        <v>16</v>
      </c>
      <c r="D306" s="12">
        <v>0</v>
      </c>
      <c r="E306" s="12">
        <v>0</v>
      </c>
      <c r="F306" s="12">
        <v>1</v>
      </c>
      <c r="G306" s="12">
        <v>0</v>
      </c>
      <c r="H306" s="12">
        <v>0</v>
      </c>
      <c r="I306" s="12">
        <v>0</v>
      </c>
    </row>
    <row r="307" spans="1:9">
      <c r="A307" s="3" t="s">
        <v>98</v>
      </c>
      <c r="B307" s="5" t="s">
        <v>24</v>
      </c>
      <c r="C307" s="5" t="s">
        <v>16</v>
      </c>
      <c r="D307" s="12">
        <v>0</v>
      </c>
      <c r="E307" s="12">
        <v>0</v>
      </c>
      <c r="F307" s="12">
        <v>1</v>
      </c>
      <c r="G307" s="12">
        <v>0</v>
      </c>
      <c r="H307" s="12">
        <v>0</v>
      </c>
      <c r="I307" s="12">
        <v>0</v>
      </c>
    </row>
    <row r="308" spans="1:9">
      <c r="A308" s="3" t="s">
        <v>98</v>
      </c>
      <c r="B308" s="5" t="s">
        <v>24</v>
      </c>
      <c r="C308" s="5" t="s">
        <v>16</v>
      </c>
      <c r="D308" s="12">
        <v>0</v>
      </c>
      <c r="E308" s="12">
        <v>0</v>
      </c>
      <c r="F308" s="12">
        <v>1</v>
      </c>
      <c r="G308" s="12">
        <v>0</v>
      </c>
      <c r="H308" s="12">
        <v>0</v>
      </c>
      <c r="I308" s="12">
        <v>0</v>
      </c>
    </row>
    <row r="309" spans="1:9">
      <c r="A309" s="3" t="s">
        <v>98</v>
      </c>
      <c r="B309" s="5" t="s">
        <v>24</v>
      </c>
      <c r="C309" s="5" t="s">
        <v>16</v>
      </c>
      <c r="D309" s="12">
        <v>0</v>
      </c>
      <c r="E309" s="12">
        <v>0</v>
      </c>
      <c r="F309" s="12">
        <v>1</v>
      </c>
      <c r="G309" s="12">
        <v>0</v>
      </c>
      <c r="H309" s="12">
        <v>0</v>
      </c>
      <c r="I309" s="12">
        <v>0</v>
      </c>
    </row>
    <row r="310" spans="1:9">
      <c r="A310" s="3" t="s">
        <v>99</v>
      </c>
      <c r="B310" s="5" t="s">
        <v>24</v>
      </c>
      <c r="C310" s="5" t="s">
        <v>18</v>
      </c>
      <c r="D310" s="12">
        <v>0</v>
      </c>
      <c r="E310" s="12">
        <v>0</v>
      </c>
      <c r="F310" s="12">
        <v>1</v>
      </c>
      <c r="G310" s="12">
        <v>0</v>
      </c>
      <c r="H310" s="12">
        <v>1</v>
      </c>
      <c r="I310" s="12">
        <v>0</v>
      </c>
    </row>
    <row r="311" spans="1:9">
      <c r="A311" s="3" t="s">
        <v>99</v>
      </c>
      <c r="B311" s="5" t="s">
        <v>24</v>
      </c>
      <c r="C311" s="5" t="s">
        <v>18</v>
      </c>
      <c r="D311" s="12">
        <v>0</v>
      </c>
      <c r="E311" s="12">
        <v>0</v>
      </c>
      <c r="F311" s="12">
        <v>1</v>
      </c>
      <c r="G311" s="12">
        <v>0</v>
      </c>
      <c r="H311" s="12">
        <v>1</v>
      </c>
      <c r="I311" s="12">
        <v>0</v>
      </c>
    </row>
    <row r="312" spans="1:9">
      <c r="A312" s="3" t="s">
        <v>99</v>
      </c>
      <c r="B312" s="5" t="s">
        <v>24</v>
      </c>
      <c r="C312" s="5" t="s">
        <v>18</v>
      </c>
      <c r="D312" s="12">
        <v>0</v>
      </c>
      <c r="E312" s="12">
        <v>0</v>
      </c>
      <c r="F312" s="12">
        <v>1</v>
      </c>
      <c r="G312" s="12">
        <v>0</v>
      </c>
      <c r="H312" s="12">
        <v>1</v>
      </c>
      <c r="I312" s="12">
        <v>0</v>
      </c>
    </row>
    <row r="313" spans="1:9">
      <c r="A313" s="3" t="s">
        <v>99</v>
      </c>
      <c r="B313" s="5" t="s">
        <v>24</v>
      </c>
      <c r="C313" s="5" t="s">
        <v>18</v>
      </c>
      <c r="D313" s="12">
        <v>0</v>
      </c>
      <c r="E313" s="12">
        <v>0</v>
      </c>
      <c r="F313" s="12">
        <v>1</v>
      </c>
      <c r="G313" s="12">
        <v>0</v>
      </c>
      <c r="H313" s="12">
        <v>1</v>
      </c>
      <c r="I313" s="12">
        <v>0</v>
      </c>
    </row>
    <row r="314" spans="1:9">
      <c r="A314" s="3" t="s">
        <v>100</v>
      </c>
      <c r="B314" s="5" t="s">
        <v>20</v>
      </c>
      <c r="C314" s="5" t="s">
        <v>16</v>
      </c>
      <c r="D314" s="12">
        <v>0</v>
      </c>
      <c r="E314" s="12">
        <v>1</v>
      </c>
      <c r="F314" s="12">
        <v>0</v>
      </c>
      <c r="G314" s="12">
        <v>0</v>
      </c>
      <c r="H314" s="12">
        <v>0</v>
      </c>
      <c r="I314" s="12">
        <v>0</v>
      </c>
    </row>
    <row r="315" spans="1:9">
      <c r="A315" s="3" t="s">
        <v>100</v>
      </c>
      <c r="B315" s="5" t="s">
        <v>20</v>
      </c>
      <c r="C315" s="5" t="s">
        <v>16</v>
      </c>
      <c r="D315" s="12">
        <v>0</v>
      </c>
      <c r="E315" s="12">
        <v>1</v>
      </c>
      <c r="F315" s="12">
        <v>0</v>
      </c>
      <c r="G315" s="12">
        <v>0</v>
      </c>
      <c r="H315" s="12">
        <v>0</v>
      </c>
      <c r="I315" s="12">
        <v>0</v>
      </c>
    </row>
    <row r="316" spans="1:9">
      <c r="A316" s="3" t="s">
        <v>100</v>
      </c>
      <c r="B316" s="5" t="s">
        <v>20</v>
      </c>
      <c r="C316" s="5" t="s">
        <v>16</v>
      </c>
      <c r="D316" s="12">
        <v>0</v>
      </c>
      <c r="E316" s="12">
        <v>1</v>
      </c>
      <c r="F316" s="12">
        <v>0</v>
      </c>
      <c r="G316" s="12">
        <v>0</v>
      </c>
      <c r="H316" s="12">
        <v>0</v>
      </c>
      <c r="I316" s="12">
        <v>0</v>
      </c>
    </row>
    <row r="317" spans="1:9">
      <c r="A317" s="3" t="s">
        <v>100</v>
      </c>
      <c r="B317" s="5" t="s">
        <v>20</v>
      </c>
      <c r="C317" s="5" t="s">
        <v>16</v>
      </c>
      <c r="D317" s="12">
        <v>0</v>
      </c>
      <c r="E317" s="12">
        <v>1</v>
      </c>
      <c r="F317" s="12">
        <v>0</v>
      </c>
      <c r="G317" s="12">
        <v>0</v>
      </c>
      <c r="H317" s="12">
        <v>0</v>
      </c>
      <c r="I317" s="12">
        <v>0</v>
      </c>
    </row>
    <row r="318" spans="1:9">
      <c r="A318" s="3" t="s">
        <v>101</v>
      </c>
      <c r="B318" s="5" t="s">
        <v>15</v>
      </c>
      <c r="C318" s="5" t="s">
        <v>16</v>
      </c>
      <c r="D318" s="12">
        <v>0</v>
      </c>
      <c r="E318" s="12">
        <v>0</v>
      </c>
      <c r="F318" s="12">
        <v>0</v>
      </c>
      <c r="G318" s="12">
        <v>0</v>
      </c>
      <c r="H318" s="12">
        <v>0</v>
      </c>
      <c r="I318" s="12">
        <v>0</v>
      </c>
    </row>
    <row r="319" spans="1:9">
      <c r="A319" s="3" t="s">
        <v>101</v>
      </c>
      <c r="B319" s="5" t="s">
        <v>15</v>
      </c>
      <c r="C319" s="5" t="s">
        <v>16</v>
      </c>
      <c r="D319" s="12">
        <v>0</v>
      </c>
      <c r="E319" s="12">
        <v>0</v>
      </c>
      <c r="F319" s="12">
        <v>0</v>
      </c>
      <c r="G319" s="12">
        <v>0</v>
      </c>
      <c r="H319" s="12">
        <v>0</v>
      </c>
      <c r="I319" s="12">
        <v>0</v>
      </c>
    </row>
    <row r="320" spans="1:9">
      <c r="A320" s="3" t="s">
        <v>101</v>
      </c>
      <c r="B320" s="5" t="s">
        <v>15</v>
      </c>
      <c r="C320" s="5" t="s">
        <v>16</v>
      </c>
      <c r="D320" s="12">
        <v>0</v>
      </c>
      <c r="E320" s="12">
        <v>0</v>
      </c>
      <c r="F320" s="12">
        <v>0</v>
      </c>
      <c r="G320" s="12">
        <v>0</v>
      </c>
      <c r="H320" s="12">
        <v>0</v>
      </c>
      <c r="I320" s="12">
        <v>0</v>
      </c>
    </row>
    <row r="321" spans="1:9">
      <c r="A321" s="3" t="s">
        <v>101</v>
      </c>
      <c r="B321" s="5" t="s">
        <v>15</v>
      </c>
      <c r="C321" s="5" t="s">
        <v>16</v>
      </c>
      <c r="D321" s="12">
        <v>0</v>
      </c>
      <c r="E321" s="12">
        <v>0</v>
      </c>
      <c r="F321" s="12">
        <v>0</v>
      </c>
      <c r="G321" s="12">
        <v>0</v>
      </c>
      <c r="H321" s="12">
        <v>0</v>
      </c>
      <c r="I321" s="12">
        <v>0</v>
      </c>
    </row>
  </sheetData>
  <autoFilter ref="A1:I321" xr:uid="{42848E7C-79AF-4E1E-884C-AE967182D45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0EE6-335C-4CDE-B2F9-85FE43DF2F21}">
  <dimension ref="A1:I344"/>
  <sheetViews>
    <sheetView workbookViewId="0">
      <selection activeCell="H8" sqref="H8"/>
    </sheetView>
  </sheetViews>
  <sheetFormatPr defaultRowHeight="14.4"/>
  <cols>
    <col min="1" max="1" width="16.109375" customWidth="1"/>
    <col min="2" max="2" width="21.44140625" bestFit="1" customWidth="1"/>
    <col min="3" max="3" width="13.44140625" bestFit="1" customWidth="1"/>
    <col min="6" max="6" width="12.44140625" bestFit="1" customWidth="1"/>
    <col min="7" max="7" width="12" bestFit="1" customWidth="1"/>
    <col min="8" max="9" width="12.109375" bestFit="1" customWidth="1"/>
  </cols>
  <sheetData>
    <row r="1" spans="1:9">
      <c r="A1" t="s">
        <v>128</v>
      </c>
    </row>
    <row r="2" spans="1:9" ht="15" thickBot="1"/>
    <row r="3" spans="1:9">
      <c r="A3" s="18" t="s">
        <v>129</v>
      </c>
      <c r="B3" s="18"/>
    </row>
    <row r="4" spans="1:9">
      <c r="A4" s="15" t="s">
        <v>130</v>
      </c>
      <c r="B4" s="15">
        <v>0.40895561021322352</v>
      </c>
    </row>
    <row r="5" spans="1:9">
      <c r="A5" s="15" t="s">
        <v>131</v>
      </c>
      <c r="B5" s="15">
        <v>0.16724469112487</v>
      </c>
    </row>
    <row r="6" spans="1:9">
      <c r="A6" s="15" t="s">
        <v>132</v>
      </c>
      <c r="B6" s="15">
        <v>0.16462596373847024</v>
      </c>
    </row>
    <row r="7" spans="1:9">
      <c r="A7" s="15" t="s">
        <v>133</v>
      </c>
      <c r="B7" s="15">
        <v>94846.03383215853</v>
      </c>
    </row>
    <row r="8" spans="1:9" ht="15" thickBot="1">
      <c r="A8" s="16" t="s">
        <v>134</v>
      </c>
      <c r="B8" s="16">
        <v>320</v>
      </c>
    </row>
    <row r="10" spans="1:9" ht="15" thickBot="1">
      <c r="A10" t="s">
        <v>135</v>
      </c>
    </row>
    <row r="11" spans="1:9">
      <c r="A11" s="17"/>
      <c r="B11" s="17" t="s">
        <v>140</v>
      </c>
      <c r="C11" s="17" t="s">
        <v>141</v>
      </c>
      <c r="D11" s="17" t="s">
        <v>142</v>
      </c>
      <c r="E11" s="17" t="s">
        <v>143</v>
      </c>
      <c r="F11" s="17" t="s">
        <v>144</v>
      </c>
    </row>
    <row r="12" spans="1:9">
      <c r="A12" s="15" t="s">
        <v>136</v>
      </c>
      <c r="B12" s="15">
        <v>1</v>
      </c>
      <c r="C12" s="15">
        <v>574513714277.01416</v>
      </c>
      <c r="D12" s="15">
        <v>574513714277.01416</v>
      </c>
      <c r="E12" s="15">
        <v>63.864872683367629</v>
      </c>
      <c r="F12" s="15">
        <v>2.4800615101359619E-14</v>
      </c>
    </row>
    <row r="13" spans="1:9">
      <c r="A13" s="15" t="s">
        <v>137</v>
      </c>
      <c r="B13" s="15">
        <v>318</v>
      </c>
      <c r="C13" s="15">
        <v>2860654902513.7251</v>
      </c>
      <c r="D13" s="15">
        <v>8995770133.6909599</v>
      </c>
      <c r="E13" s="15"/>
      <c r="F13" s="15"/>
    </row>
    <row r="14" spans="1:9" ht="15" thickBot="1">
      <c r="A14" s="16" t="s">
        <v>138</v>
      </c>
      <c r="B14" s="16">
        <v>319</v>
      </c>
      <c r="C14" s="16">
        <v>3435168616790.7393</v>
      </c>
      <c r="D14" s="16"/>
      <c r="E14" s="16"/>
      <c r="F14" s="16"/>
    </row>
    <row r="15" spans="1:9" ht="15" thickBot="1"/>
    <row r="16" spans="1:9">
      <c r="A16" s="17"/>
      <c r="B16" s="17" t="s">
        <v>145</v>
      </c>
      <c r="C16" s="17" t="s">
        <v>133</v>
      </c>
      <c r="D16" s="17" t="s">
        <v>146</v>
      </c>
      <c r="E16" s="17" t="s">
        <v>147</v>
      </c>
      <c r="F16" s="17" t="s">
        <v>148</v>
      </c>
      <c r="G16" s="17" t="s">
        <v>149</v>
      </c>
      <c r="H16" s="17" t="s">
        <v>150</v>
      </c>
      <c r="I16" s="17" t="s">
        <v>151</v>
      </c>
    </row>
    <row r="17" spans="1:9">
      <c r="A17" s="15" t="s">
        <v>139</v>
      </c>
      <c r="B17" s="15">
        <v>560777.34544943704</v>
      </c>
      <c r="C17" s="15">
        <v>15906.905953068674</v>
      </c>
      <c r="D17" s="15">
        <v>35.253703460870398</v>
      </c>
      <c r="E17" s="15">
        <v>6.952876876284135E-112</v>
      </c>
      <c r="F17" s="15">
        <v>529481.27234763221</v>
      </c>
      <c r="G17" s="15">
        <v>592073.41855124186</v>
      </c>
      <c r="H17" s="15">
        <v>529481.27234763221</v>
      </c>
      <c r="I17" s="15">
        <v>592073.41855124186</v>
      </c>
    </row>
    <row r="18" spans="1:9" ht="15" thickBot="1">
      <c r="A18" s="16" t="s">
        <v>4</v>
      </c>
      <c r="B18" s="16">
        <v>2.1295753275898281</v>
      </c>
      <c r="C18" s="16">
        <v>0.26647838106932348</v>
      </c>
      <c r="D18" s="16">
        <v>7.991550080138869</v>
      </c>
      <c r="E18" s="16">
        <v>2.4800615101360068E-14</v>
      </c>
      <c r="F18" s="16">
        <v>1.6052919176921738</v>
      </c>
      <c r="G18" s="16">
        <v>2.6538587374874822</v>
      </c>
      <c r="H18" s="16">
        <v>1.6052919176921738</v>
      </c>
      <c r="I18" s="16">
        <v>2.6538587374874822</v>
      </c>
    </row>
    <row r="22" spans="1:9">
      <c r="A22" t="s">
        <v>152</v>
      </c>
    </row>
    <row r="23" spans="1:9" ht="15" thickBot="1"/>
    <row r="24" spans="1:9">
      <c r="A24" s="17" t="s">
        <v>153</v>
      </c>
      <c r="B24" s="17" t="s">
        <v>154</v>
      </c>
      <c r="C24" s="17" t="s">
        <v>155</v>
      </c>
    </row>
    <row r="25" spans="1:9">
      <c r="A25" s="15">
        <v>1</v>
      </c>
      <c r="B25" s="15">
        <v>710676.25743644347</v>
      </c>
      <c r="C25" s="15">
        <v>-51843.637436443474</v>
      </c>
    </row>
    <row r="26" spans="1:9">
      <c r="A26" s="15">
        <v>2</v>
      </c>
      <c r="B26" s="15">
        <v>654112.13865375798</v>
      </c>
      <c r="C26" s="15">
        <v>-19676.138653757982</v>
      </c>
    </row>
    <row r="27" spans="1:9">
      <c r="A27" s="15">
        <v>3</v>
      </c>
      <c r="B27" s="15">
        <v>688385.22583544278</v>
      </c>
      <c r="C27" s="15">
        <v>-9663.16583544272</v>
      </c>
    </row>
    <row r="28" spans="1:9">
      <c r="A28" s="15">
        <v>4</v>
      </c>
      <c r="B28" s="15">
        <v>681857.82190734067</v>
      </c>
      <c r="C28" s="15">
        <v>-22937.521907340619</v>
      </c>
    </row>
    <row r="29" spans="1:9">
      <c r="A29" s="15">
        <v>5</v>
      </c>
      <c r="B29" s="15">
        <v>663875.7091369254</v>
      </c>
      <c r="C29" s="15">
        <v>77465.730863074539</v>
      </c>
    </row>
    <row r="30" spans="1:9">
      <c r="A30" s="15">
        <v>6</v>
      </c>
      <c r="B30" s="15">
        <v>698797.69921668014</v>
      </c>
      <c r="C30" s="15">
        <v>63037.640783319832</v>
      </c>
    </row>
    <row r="31" spans="1:9">
      <c r="A31" s="15">
        <v>7</v>
      </c>
      <c r="B31" s="15">
        <v>659192.36837224313</v>
      </c>
      <c r="C31" s="15">
        <v>147423.17162775691</v>
      </c>
    </row>
    <row r="32" spans="1:9">
      <c r="A32" s="15">
        <v>8</v>
      </c>
      <c r="B32" s="15">
        <v>705904.752253199</v>
      </c>
      <c r="C32" s="15">
        <v>144259.50774680101</v>
      </c>
    </row>
    <row r="33" spans="1:3">
      <c r="A33" s="15">
        <v>9</v>
      </c>
      <c r="B33" s="15">
        <v>713763.60926761688</v>
      </c>
      <c r="C33" s="15">
        <v>216818.09073238308</v>
      </c>
    </row>
    <row r="34" spans="1:3">
      <c r="A34" s="15">
        <v>10</v>
      </c>
      <c r="B34" s="15">
        <v>705872.63825725892</v>
      </c>
      <c r="C34" s="15">
        <v>73138.301742741023</v>
      </c>
    </row>
    <row r="35" spans="1:3">
      <c r="A35" s="15">
        <v>11</v>
      </c>
      <c r="B35" s="15">
        <v>633790.28276667313</v>
      </c>
      <c r="C35" s="15">
        <v>89270.477233326877</v>
      </c>
    </row>
    <row r="36" spans="1:3">
      <c r="A36" s="15">
        <v>12</v>
      </c>
      <c r="B36" s="15">
        <v>705545.62066995422</v>
      </c>
      <c r="C36" s="15">
        <v>205246.31933004572</v>
      </c>
    </row>
    <row r="37" spans="1:3">
      <c r="A37" s="15">
        <v>13</v>
      </c>
      <c r="B37" s="15">
        <v>713741.03576914431</v>
      </c>
      <c r="C37" s="15">
        <v>208427.56423085567</v>
      </c>
    </row>
    <row r="38" spans="1:3">
      <c r="A38" s="15">
        <v>14</v>
      </c>
      <c r="B38" s="15">
        <v>679430.51065320056</v>
      </c>
      <c r="C38" s="15">
        <v>47175.769346799469</v>
      </c>
    </row>
    <row r="39" spans="1:3">
      <c r="A39" s="15">
        <v>15</v>
      </c>
      <c r="B39" s="15">
        <v>688359.15983343311</v>
      </c>
      <c r="C39" s="15">
        <v>58141.930166566861</v>
      </c>
    </row>
    <row r="40" spans="1:3">
      <c r="A40" s="15">
        <v>16</v>
      </c>
      <c r="B40" s="15">
        <v>721146.52749207162</v>
      </c>
      <c r="C40" s="15">
        <v>112870.4925079284</v>
      </c>
    </row>
    <row r="41" spans="1:3">
      <c r="A41" s="15">
        <v>17</v>
      </c>
      <c r="B41" s="15">
        <v>664709.60824370314</v>
      </c>
      <c r="C41" s="15">
        <v>1442.911756296875</v>
      </c>
    </row>
    <row r="42" spans="1:3">
      <c r="A42" s="15">
        <v>18</v>
      </c>
      <c r="B42" s="15">
        <v>686673.36670835968</v>
      </c>
      <c r="C42" s="15">
        <v>-113518.17670835974</v>
      </c>
    </row>
    <row r="43" spans="1:3">
      <c r="A43" s="15">
        <v>19</v>
      </c>
      <c r="B43" s="15">
        <v>728654.1536477101</v>
      </c>
      <c r="C43" s="15">
        <v>-62080.95364771015</v>
      </c>
    </row>
    <row r="44" spans="1:3">
      <c r="A44" s="15">
        <v>20</v>
      </c>
      <c r="B44" s="15">
        <v>649031.05710514181</v>
      </c>
      <c r="C44" s="15">
        <v>-57411.107105141855</v>
      </c>
    </row>
    <row r="45" spans="1:3">
      <c r="A45" s="15">
        <v>21</v>
      </c>
      <c r="B45" s="15">
        <v>625423.33037484554</v>
      </c>
      <c r="C45" s="15">
        <v>-209701.51037484553</v>
      </c>
    </row>
    <row r="46" spans="1:3">
      <c r="A46" s="15">
        <v>22</v>
      </c>
      <c r="B46" s="15">
        <v>632158.32530588121</v>
      </c>
      <c r="C46" s="15">
        <v>-140253.19530588121</v>
      </c>
    </row>
    <row r="47" spans="1:3">
      <c r="A47" s="15">
        <v>23</v>
      </c>
      <c r="B47" s="15">
        <v>650788.89376354753</v>
      </c>
      <c r="C47" s="15">
        <v>-94859.493763547507</v>
      </c>
    </row>
    <row r="48" spans="1:3">
      <c r="A48" s="15">
        <v>24</v>
      </c>
      <c r="B48" s="15">
        <v>692939.7059970526</v>
      </c>
      <c r="C48" s="15">
        <v>-127128.71599705261</v>
      </c>
    </row>
    <row r="49" spans="1:3">
      <c r="A49" s="15">
        <v>25</v>
      </c>
      <c r="B49" s="15">
        <v>683646.79295703582</v>
      </c>
      <c r="C49" s="15">
        <v>128124.34704296419</v>
      </c>
    </row>
    <row r="50" spans="1:3">
      <c r="A50" s="15">
        <v>26</v>
      </c>
      <c r="B50" s="15">
        <v>927949.18293500762</v>
      </c>
      <c r="C50" s="15">
        <v>-127497.24293500767</v>
      </c>
    </row>
    <row r="51" spans="1:3">
      <c r="A51" s="15">
        <v>27</v>
      </c>
      <c r="B51" s="15">
        <v>678480.08118449722</v>
      </c>
      <c r="C51" s="15">
        <v>105192.73881550273</v>
      </c>
    </row>
    <row r="52" spans="1:3">
      <c r="A52" s="15">
        <v>28</v>
      </c>
      <c r="B52" s="15">
        <v>673038.12180086761</v>
      </c>
      <c r="C52" s="15">
        <v>28603.848199132364</v>
      </c>
    </row>
    <row r="53" spans="1:3">
      <c r="A53" s="15">
        <v>29</v>
      </c>
      <c r="B53" s="15">
        <v>706867.53325880237</v>
      </c>
      <c r="C53" s="15">
        <v>-195023.1232588024</v>
      </c>
    </row>
    <row r="54" spans="1:3">
      <c r="A54" s="15">
        <v>30</v>
      </c>
      <c r="B54" s="15">
        <v>695316.95093524118</v>
      </c>
      <c r="C54" s="15">
        <v>-157933.16093524115</v>
      </c>
    </row>
    <row r="55" spans="1:3">
      <c r="A55" s="15">
        <v>31</v>
      </c>
      <c r="B55" s="15">
        <v>656544.51829717786</v>
      </c>
      <c r="C55" s="15">
        <v>-156371.49829717784</v>
      </c>
    </row>
    <row r="56" spans="1:3">
      <c r="A56" s="15">
        <v>32</v>
      </c>
      <c r="B56" s="15">
        <v>709456.52187181311</v>
      </c>
      <c r="C56" s="15">
        <v>-281539.1418718131</v>
      </c>
    </row>
    <row r="57" spans="1:3">
      <c r="A57" s="15">
        <v>33</v>
      </c>
      <c r="B57" s="15">
        <v>677047.53715738084</v>
      </c>
      <c r="C57" s="15">
        <v>-35182.507157380809</v>
      </c>
    </row>
    <row r="58" spans="1:3">
      <c r="A58" s="15">
        <v>34</v>
      </c>
      <c r="B58" s="15">
        <v>717880.18485461432</v>
      </c>
      <c r="C58" s="15">
        <v>81597.575145385694</v>
      </c>
    </row>
    <row r="59" spans="1:3">
      <c r="A59" s="15">
        <v>35</v>
      </c>
      <c r="B59" s="15">
        <v>719247.30832766718</v>
      </c>
      <c r="C59" s="15">
        <v>79704.86167233286</v>
      </c>
    </row>
    <row r="60" spans="1:3">
      <c r="A60" s="15">
        <v>36</v>
      </c>
      <c r="B60" s="15">
        <v>672545.48714033619</v>
      </c>
      <c r="C60" s="15">
        <v>128434.29285966384</v>
      </c>
    </row>
    <row r="61" spans="1:3">
      <c r="A61" s="15">
        <v>37</v>
      </c>
      <c r="B61" s="15">
        <v>721070.20351233077</v>
      </c>
      <c r="C61" s="15">
        <v>99523.726487669279</v>
      </c>
    </row>
    <row r="62" spans="1:3">
      <c r="A62" s="15">
        <v>38</v>
      </c>
      <c r="B62" s="15">
        <v>691204.05951356038</v>
      </c>
      <c r="C62" s="15">
        <v>27126.470486439648</v>
      </c>
    </row>
    <row r="63" spans="1:3">
      <c r="A63" s="15">
        <v>39</v>
      </c>
      <c r="B63" s="15">
        <v>759639.77280468796</v>
      </c>
      <c r="C63" s="15">
        <v>-23006.372804687941</v>
      </c>
    </row>
    <row r="64" spans="1:3">
      <c r="A64" s="15">
        <v>40</v>
      </c>
      <c r="B64" s="15">
        <v>699225.70126601914</v>
      </c>
      <c r="C64" s="15">
        <v>129398.14873398084</v>
      </c>
    </row>
    <row r="65" spans="1:3">
      <c r="A65" s="15">
        <v>41</v>
      </c>
      <c r="B65" s="15">
        <v>646946.22415518458</v>
      </c>
      <c r="C65" s="15">
        <v>-54750.374155184603</v>
      </c>
    </row>
    <row r="66" spans="1:3">
      <c r="A66" s="15">
        <v>42</v>
      </c>
      <c r="B66" s="15">
        <v>659001.622310151</v>
      </c>
      <c r="C66" s="15">
        <v>-126357.16231015103</v>
      </c>
    </row>
    <row r="67" spans="1:3">
      <c r="A67" s="15">
        <v>43</v>
      </c>
      <c r="B67" s="15">
        <v>705753.59499644663</v>
      </c>
      <c r="C67" s="15">
        <v>-48324.414996446576</v>
      </c>
    </row>
    <row r="68" spans="1:3">
      <c r="A68" s="15">
        <v>44</v>
      </c>
      <c r="B68" s="15">
        <v>698948.74999466608</v>
      </c>
      <c r="C68" s="15">
        <v>-93770.749994666083</v>
      </c>
    </row>
    <row r="69" spans="1:3">
      <c r="A69" s="15">
        <v>45</v>
      </c>
      <c r="B69" s="15">
        <v>856480.61364533973</v>
      </c>
      <c r="C69" s="15">
        <v>-261013.01364533976</v>
      </c>
    </row>
    <row r="70" spans="1:3">
      <c r="A70" s="15">
        <v>46</v>
      </c>
      <c r="B70" s="15">
        <v>696282.67075479659</v>
      </c>
      <c r="C70" s="15">
        <v>-96679.270754796569</v>
      </c>
    </row>
    <row r="71" spans="1:3">
      <c r="A71" s="15">
        <v>47</v>
      </c>
      <c r="B71" s="15">
        <v>667349.06779197778</v>
      </c>
      <c r="C71" s="15">
        <v>-52548.977791977813</v>
      </c>
    </row>
    <row r="72" spans="1:3">
      <c r="A72" s="15">
        <v>48</v>
      </c>
      <c r="B72" s="15">
        <v>650419.3485569508</v>
      </c>
      <c r="C72" s="15">
        <v>-65053.618556950823</v>
      </c>
    </row>
    <row r="73" spans="1:3">
      <c r="A73" s="15">
        <v>49</v>
      </c>
      <c r="B73" s="15">
        <v>660066.77200175158</v>
      </c>
      <c r="C73" s="15">
        <v>-37255.032001751591</v>
      </c>
    </row>
    <row r="74" spans="1:3">
      <c r="A74" s="15">
        <v>50</v>
      </c>
      <c r="B74" s="15">
        <v>666639.15256077237</v>
      </c>
      <c r="C74" s="15">
        <v>-63341.582560772425</v>
      </c>
    </row>
    <row r="75" spans="1:3">
      <c r="A75" s="15">
        <v>51</v>
      </c>
      <c r="B75" s="15">
        <v>663609.95943179552</v>
      </c>
      <c r="C75" s="15">
        <v>-37937.099431795534</v>
      </c>
    </row>
    <row r="76" spans="1:3">
      <c r="A76" s="15">
        <v>52</v>
      </c>
      <c r="B76" s="15">
        <v>699865.21273689438</v>
      </c>
      <c r="C76" s="15">
        <v>73949.927263105637</v>
      </c>
    </row>
    <row r="77" spans="1:3">
      <c r="A77" s="15">
        <v>53</v>
      </c>
      <c r="B77" s="15">
        <v>673677.76104626246</v>
      </c>
      <c r="C77" s="15">
        <v>-210143.51104626246</v>
      </c>
    </row>
    <row r="78" spans="1:3">
      <c r="A78" s="15">
        <v>54</v>
      </c>
      <c r="B78" s="15">
        <v>773466.57301289681</v>
      </c>
      <c r="C78" s="15">
        <v>-26788.823012896813</v>
      </c>
    </row>
    <row r="79" spans="1:3">
      <c r="A79" s="15">
        <v>55</v>
      </c>
      <c r="B79" s="15">
        <v>733689.27896075696</v>
      </c>
      <c r="C79" s="15">
        <v>-12836.778960756958</v>
      </c>
    </row>
    <row r="80" spans="1:3">
      <c r="A80" s="15">
        <v>56</v>
      </c>
      <c r="B80" s="15">
        <v>619997.85390425147</v>
      </c>
      <c r="C80" s="15">
        <v>-132532.9439042515</v>
      </c>
    </row>
    <row r="81" spans="1:3">
      <c r="A81" s="15">
        <v>57</v>
      </c>
      <c r="B81" s="15">
        <v>602016.69944273378</v>
      </c>
      <c r="C81" s="15">
        <v>-83967.439442733768</v>
      </c>
    </row>
    <row r="82" spans="1:3">
      <c r="A82" s="15">
        <v>58</v>
      </c>
      <c r="B82" s="15">
        <v>687286.21589613357</v>
      </c>
      <c r="C82" s="15">
        <v>-186987.73589613358</v>
      </c>
    </row>
    <row r="83" spans="1:3">
      <c r="A83" s="15">
        <v>59</v>
      </c>
      <c r="B83" s="15">
        <v>814006.16984930076</v>
      </c>
      <c r="C83" s="15">
        <v>-196715.01984930073</v>
      </c>
    </row>
    <row r="84" spans="1:3">
      <c r="A84" s="15">
        <v>60</v>
      </c>
      <c r="B84" s="15">
        <v>673542.87374501291</v>
      </c>
      <c r="C84" s="15">
        <v>-119786.44374501286</v>
      </c>
    </row>
    <row r="85" spans="1:3">
      <c r="A85" s="15">
        <v>61</v>
      </c>
      <c r="B85" s="15">
        <v>720299.53149702935</v>
      </c>
      <c r="C85" s="15">
        <v>29260.178502970608</v>
      </c>
    </row>
    <row r="86" spans="1:3">
      <c r="A86" s="15">
        <v>62</v>
      </c>
      <c r="B86" s="15">
        <v>640177.83748301235</v>
      </c>
      <c r="C86" s="15">
        <v>-24211.357483012369</v>
      </c>
    </row>
    <row r="87" spans="1:3">
      <c r="A87" s="15">
        <v>63</v>
      </c>
      <c r="B87" s="15">
        <v>667986.96078560397</v>
      </c>
      <c r="C87" s="15">
        <v>-95975.760785604012</v>
      </c>
    </row>
    <row r="88" spans="1:3">
      <c r="A88" s="15">
        <v>64</v>
      </c>
      <c r="B88" s="15">
        <v>720398.53545400896</v>
      </c>
      <c r="C88" s="15">
        <v>41461.654545990983</v>
      </c>
    </row>
    <row r="89" spans="1:3">
      <c r="A89" s="15">
        <v>65</v>
      </c>
      <c r="B89" s="15">
        <v>709933.46156218019</v>
      </c>
      <c r="C89" s="15">
        <v>74569.218437819858</v>
      </c>
    </row>
    <row r="90" spans="1:3">
      <c r="A90" s="15">
        <v>66</v>
      </c>
      <c r="B90" s="15">
        <v>669702.33371197758</v>
      </c>
      <c r="C90" s="15">
        <v>47439.216288022464</v>
      </c>
    </row>
    <row r="91" spans="1:3">
      <c r="A91" s="15">
        <v>67</v>
      </c>
      <c r="B91" s="15">
        <v>729750.84234991227</v>
      </c>
      <c r="C91" s="15">
        <v>-44371.762349912315</v>
      </c>
    </row>
    <row r="92" spans="1:3">
      <c r="A92" s="15">
        <v>68</v>
      </c>
      <c r="B92" s="15">
        <v>650258.69339423743</v>
      </c>
      <c r="C92" s="15">
        <v>90237.956605762593</v>
      </c>
    </row>
    <row r="93" spans="1:3">
      <c r="A93" s="15">
        <v>69</v>
      </c>
      <c r="B93" s="15">
        <v>711843.54156075534</v>
      </c>
      <c r="C93" s="15">
        <v>-49916.40156075533</v>
      </c>
    </row>
    <row r="94" spans="1:3">
      <c r="A94" s="15">
        <v>70</v>
      </c>
      <c r="B94" s="15">
        <v>639174.36029289884</v>
      </c>
      <c r="C94" s="15">
        <v>-160123.86029289884</v>
      </c>
    </row>
    <row r="95" spans="1:3">
      <c r="A95" s="15">
        <v>71</v>
      </c>
      <c r="B95" s="15">
        <v>689769.5988686491</v>
      </c>
      <c r="C95" s="15">
        <v>-84745.728868649108</v>
      </c>
    </row>
    <row r="96" spans="1:3">
      <c r="A96" s="15">
        <v>72</v>
      </c>
      <c r="B96" s="15">
        <v>678076.82480046479</v>
      </c>
      <c r="C96" s="15">
        <v>-3302.7348004648229</v>
      </c>
    </row>
    <row r="97" spans="1:3">
      <c r="A97" s="15">
        <v>73</v>
      </c>
      <c r="B97" s="15">
        <v>659166.83476406534</v>
      </c>
      <c r="C97" s="15">
        <v>-43097.424764065305</v>
      </c>
    </row>
    <row r="98" spans="1:3">
      <c r="A98" s="15">
        <v>74</v>
      </c>
      <c r="B98" s="15">
        <v>675269.53342062281</v>
      </c>
      <c r="C98" s="15">
        <v>-44439.59342062287</v>
      </c>
    </row>
    <row r="99" spans="1:3">
      <c r="A99" s="15">
        <v>75</v>
      </c>
      <c r="B99" s="15">
        <v>710155.93829665345</v>
      </c>
      <c r="C99" s="15">
        <v>77931.741703346604</v>
      </c>
    </row>
    <row r="100" spans="1:3">
      <c r="A100" s="15">
        <v>76</v>
      </c>
      <c r="B100" s="15">
        <v>685889.10800246825</v>
      </c>
      <c r="C100" s="15">
        <v>-5048.7480024682591</v>
      </c>
    </row>
    <row r="101" spans="1:3">
      <c r="A101" s="15">
        <v>77</v>
      </c>
      <c r="B101" s="15">
        <v>682106.02391177125</v>
      </c>
      <c r="C101" s="15">
        <v>-38448.553911771276</v>
      </c>
    </row>
    <row r="102" spans="1:3">
      <c r="A102" s="15">
        <v>78</v>
      </c>
      <c r="B102" s="15">
        <v>677633.14907671465</v>
      </c>
      <c r="C102" s="15">
        <v>13479.450923285331</v>
      </c>
    </row>
    <row r="103" spans="1:3">
      <c r="A103" s="15">
        <v>79</v>
      </c>
      <c r="B103" s="15">
        <v>732341.91794674413</v>
      </c>
      <c r="C103" s="15">
        <v>44580.252053255914</v>
      </c>
    </row>
    <row r="104" spans="1:3">
      <c r="A104" s="15">
        <v>80</v>
      </c>
      <c r="B104" s="15">
        <v>726884.00804391084</v>
      </c>
      <c r="C104" s="15">
        <v>-90322.668043910875</v>
      </c>
    </row>
    <row r="105" spans="1:3">
      <c r="A105" s="15">
        <v>81</v>
      </c>
      <c r="B105" s="15">
        <v>690428.04226418666</v>
      </c>
      <c r="C105" s="15">
        <v>-69058.462264186703</v>
      </c>
    </row>
    <row r="106" spans="1:3">
      <c r="A106" s="15">
        <v>82</v>
      </c>
      <c r="B106" s="15">
        <v>689890.04764917761</v>
      </c>
      <c r="C106" s="15">
        <v>-7682.0376491775969</v>
      </c>
    </row>
    <row r="107" spans="1:3">
      <c r="A107" s="15">
        <v>83</v>
      </c>
      <c r="B107" s="15">
        <v>715663.78674091864</v>
      </c>
      <c r="C107" s="15">
        <v>11578.073259081342</v>
      </c>
    </row>
    <row r="108" spans="1:3">
      <c r="A108" s="15">
        <v>84</v>
      </c>
      <c r="B108" s="15">
        <v>638455.11752175866</v>
      </c>
      <c r="C108" s="15">
        <v>-69354.337521758629</v>
      </c>
    </row>
    <row r="109" spans="1:3">
      <c r="A109" s="15">
        <v>85</v>
      </c>
      <c r="B109" s="15">
        <v>678730.49794726842</v>
      </c>
      <c r="C109" s="15">
        <v>-104294.20794726838</v>
      </c>
    </row>
    <row r="110" spans="1:3">
      <c r="A110" s="15">
        <v>86</v>
      </c>
      <c r="B110" s="15">
        <v>749125.01592046651</v>
      </c>
      <c r="C110" s="15">
        <v>-137358.29592046654</v>
      </c>
    </row>
    <row r="111" spans="1:3">
      <c r="A111" s="15">
        <v>87</v>
      </c>
      <c r="B111" s="15">
        <v>727378.09081566497</v>
      </c>
      <c r="C111" s="15">
        <v>-112781.77081566502</v>
      </c>
    </row>
    <row r="112" spans="1:3">
      <c r="A112" s="15">
        <v>88</v>
      </c>
      <c r="B112" s="15">
        <v>601231.43983643828</v>
      </c>
      <c r="C112" s="15">
        <v>-150519.5198364383</v>
      </c>
    </row>
    <row r="113" spans="1:3">
      <c r="A113" s="15">
        <v>89</v>
      </c>
      <c r="B113" s="15">
        <v>668359.10407410027</v>
      </c>
      <c r="C113" s="15">
        <v>42854.355925899697</v>
      </c>
    </row>
    <row r="114" spans="1:3">
      <c r="A114" s="15">
        <v>90</v>
      </c>
      <c r="B114" s="15">
        <v>862198.05489334627</v>
      </c>
      <c r="C114" s="15">
        <v>-235026.15489334625</v>
      </c>
    </row>
    <row r="115" spans="1:3">
      <c r="A115" s="15">
        <v>91</v>
      </c>
      <c r="B115" s="15">
        <v>735649.95766911563</v>
      </c>
      <c r="C115" s="15">
        <v>4202.6223308843328</v>
      </c>
    </row>
    <row r="116" spans="1:3">
      <c r="A116" s="15">
        <v>92</v>
      </c>
      <c r="B116" s="15">
        <v>627236.08878094982</v>
      </c>
      <c r="C116" s="15">
        <v>-40928.868780949851</v>
      </c>
    </row>
    <row r="117" spans="1:3">
      <c r="A117" s="15">
        <v>93</v>
      </c>
      <c r="B117" s="15">
        <v>643759.63411374553</v>
      </c>
      <c r="C117" s="15">
        <v>-57822.15411374555</v>
      </c>
    </row>
    <row r="118" spans="1:3">
      <c r="A118" s="15">
        <v>94</v>
      </c>
      <c r="B118" s="15">
        <v>704394.41483936575</v>
      </c>
      <c r="C118" s="15">
        <v>49079.135160634294</v>
      </c>
    </row>
    <row r="119" spans="1:3">
      <c r="A119" s="15">
        <v>95</v>
      </c>
      <c r="B119" s="15">
        <v>744819.24886136584</v>
      </c>
      <c r="C119" s="15">
        <v>93431.071138634114</v>
      </c>
    </row>
    <row r="120" spans="1:3">
      <c r="A120" s="15">
        <v>96</v>
      </c>
      <c r="B120" s="15">
        <v>581082.10084664135</v>
      </c>
      <c r="C120" s="15">
        <v>26816.019153358648</v>
      </c>
    </row>
    <row r="121" spans="1:3">
      <c r="A121" s="15">
        <v>97</v>
      </c>
      <c r="B121" s="15">
        <v>690962.69344593131</v>
      </c>
      <c r="C121" s="15">
        <v>150.92655406869017</v>
      </c>
    </row>
    <row r="122" spans="1:3">
      <c r="A122" s="15">
        <v>98</v>
      </c>
      <c r="B122" s="15">
        <v>728671.76523566921</v>
      </c>
      <c r="C122" s="15">
        <v>6837.6347643308109</v>
      </c>
    </row>
    <row r="123" spans="1:3">
      <c r="A123" s="15">
        <v>99</v>
      </c>
      <c r="B123" s="15">
        <v>643304.35220446019</v>
      </c>
      <c r="C123" s="15">
        <v>-37529.022204460227</v>
      </c>
    </row>
    <row r="124" spans="1:3">
      <c r="A124" s="15">
        <v>100</v>
      </c>
      <c r="B124" s="15">
        <v>678119.2885324969</v>
      </c>
      <c r="C124" s="15">
        <v>-2941.6085324968444</v>
      </c>
    </row>
    <row r="125" spans="1:3">
      <c r="A125" s="15">
        <v>101</v>
      </c>
      <c r="B125" s="15">
        <v>673825.3406164645</v>
      </c>
      <c r="C125" s="15">
        <v>-38643.990616464522</v>
      </c>
    </row>
    <row r="126" spans="1:3">
      <c r="A126" s="15">
        <v>102</v>
      </c>
      <c r="B126" s="15">
        <v>695156.93464512611</v>
      </c>
      <c r="C126" s="15">
        <v>-108529.99464512616</v>
      </c>
    </row>
    <row r="127" spans="1:3">
      <c r="A127" s="15">
        <v>103</v>
      </c>
      <c r="B127" s="15">
        <v>752618.8610901701</v>
      </c>
      <c r="C127" s="15">
        <v>-12516.221090170089</v>
      </c>
    </row>
    <row r="128" spans="1:3">
      <c r="A128" s="15">
        <v>104</v>
      </c>
      <c r="B128" s="15">
        <v>629491.58589766012</v>
      </c>
      <c r="C128" s="15">
        <v>-3977.5458976600785</v>
      </c>
    </row>
    <row r="129" spans="1:3">
      <c r="A129" s="15">
        <v>105</v>
      </c>
      <c r="B129" s="15">
        <v>684120.36791838519</v>
      </c>
      <c r="C129" s="15">
        <v>43106.832081614761</v>
      </c>
    </row>
    <row r="130" spans="1:3">
      <c r="A130" s="15">
        <v>106</v>
      </c>
      <c r="B130" s="15">
        <v>719812.6466898825</v>
      </c>
      <c r="C130" s="15">
        <v>63985.243310117512</v>
      </c>
    </row>
    <row r="131" spans="1:3">
      <c r="A131" s="15">
        <v>107</v>
      </c>
      <c r="B131" s="15">
        <v>697696.75136382284</v>
      </c>
      <c r="C131" s="15">
        <v>97457.088636177126</v>
      </c>
    </row>
    <row r="132" spans="1:3">
      <c r="A132" s="15">
        <v>108</v>
      </c>
      <c r="B132" s="15">
        <v>626883.68665574025</v>
      </c>
      <c r="C132" s="15">
        <v>38711.25334425969</v>
      </c>
    </row>
    <row r="133" spans="1:3">
      <c r="A133" s="15">
        <v>109</v>
      </c>
      <c r="B133" s="15">
        <v>721059.87507199205</v>
      </c>
      <c r="C133" s="15">
        <v>-11581.485071992036</v>
      </c>
    </row>
    <row r="134" spans="1:3">
      <c r="A134" s="15">
        <v>110</v>
      </c>
      <c r="B134" s="15">
        <v>708594.78921550396</v>
      </c>
      <c r="C134" s="15">
        <v>-44432.299215503968</v>
      </c>
    </row>
    <row r="135" spans="1:3">
      <c r="A135" s="15">
        <v>111</v>
      </c>
      <c r="B135" s="15">
        <v>669505.26281116251</v>
      </c>
      <c r="C135" s="15">
        <v>-36011.052811162546</v>
      </c>
    </row>
    <row r="136" spans="1:3">
      <c r="A136" s="15">
        <v>112</v>
      </c>
      <c r="B136" s="15">
        <v>673129.50187817449</v>
      </c>
      <c r="C136" s="15">
        <v>40481.658121825545</v>
      </c>
    </row>
    <row r="137" spans="1:3">
      <c r="A137" s="15">
        <v>113</v>
      </c>
      <c r="B137" s="15">
        <v>691588.72470498295</v>
      </c>
      <c r="C137" s="15">
        <v>86809.245295017026</v>
      </c>
    </row>
    <row r="138" spans="1:3">
      <c r="A138" s="15">
        <v>114</v>
      </c>
      <c r="B138" s="15">
        <v>731518.90096989041</v>
      </c>
      <c r="C138" s="15">
        <v>141861.11903010961</v>
      </c>
    </row>
    <row r="139" spans="1:3">
      <c r="A139" s="15">
        <v>115</v>
      </c>
      <c r="B139" s="15">
        <v>632342.10765665222</v>
      </c>
      <c r="C139" s="15">
        <v>64945.792343347799</v>
      </c>
    </row>
    <row r="140" spans="1:3">
      <c r="A140" s="15">
        <v>116</v>
      </c>
      <c r="B140" s="15">
        <v>616126.15818417352</v>
      </c>
      <c r="C140" s="15">
        <v>101948.63181582652</v>
      </c>
    </row>
    <row r="141" spans="1:3">
      <c r="A141" s="15">
        <v>117</v>
      </c>
      <c r="B141" s="15">
        <v>653808.1417757445</v>
      </c>
      <c r="C141" s="15">
        <v>61134.28822425555</v>
      </c>
    </row>
    <row r="142" spans="1:3">
      <c r="A142" s="15">
        <v>118</v>
      </c>
      <c r="B142" s="15">
        <v>682929.80753574288</v>
      </c>
      <c r="C142" s="15">
        <v>137589.23246425716</v>
      </c>
    </row>
    <row r="143" spans="1:3">
      <c r="A143" s="15">
        <v>119</v>
      </c>
      <c r="B143" s="15">
        <v>651104.2838695636</v>
      </c>
      <c r="C143" s="15">
        <v>33113.036130436347</v>
      </c>
    </row>
    <row r="144" spans="1:3">
      <c r="A144" s="15">
        <v>120</v>
      </c>
      <c r="B144" s="15">
        <v>677837.92904021579</v>
      </c>
      <c r="C144" s="15">
        <v>57642.260959784151</v>
      </c>
    </row>
    <row r="145" spans="1:3">
      <c r="A145" s="15">
        <v>121</v>
      </c>
      <c r="B145" s="15">
        <v>654257.46087411267</v>
      </c>
      <c r="C145" s="15">
        <v>-144772.65087411267</v>
      </c>
    </row>
    <row r="146" spans="1:3">
      <c r="A146" s="15">
        <v>122</v>
      </c>
      <c r="B146" s="15">
        <v>737626.1609816124</v>
      </c>
      <c r="C146" s="15">
        <v>-83309.070981612429</v>
      </c>
    </row>
    <row r="147" spans="1:3">
      <c r="A147" s="15">
        <v>123</v>
      </c>
      <c r="B147" s="15">
        <v>663840.54984826688</v>
      </c>
      <c r="C147" s="15">
        <v>-106353.28984826687</v>
      </c>
    </row>
    <row r="148" spans="1:3">
      <c r="A148" s="15">
        <v>124</v>
      </c>
      <c r="B148" s="15">
        <v>601374.46211543912</v>
      </c>
      <c r="C148" s="15">
        <v>-160099.04211543914</v>
      </c>
    </row>
    <row r="149" spans="1:3">
      <c r="A149" s="15">
        <v>125</v>
      </c>
      <c r="B149" s="15">
        <v>691833.9878954615</v>
      </c>
      <c r="C149" s="15">
        <v>222710.18210453854</v>
      </c>
    </row>
    <row r="150" spans="1:3">
      <c r="A150" s="15">
        <v>126</v>
      </c>
      <c r="B150" s="15">
        <v>656069.45263309905</v>
      </c>
      <c r="C150" s="15">
        <v>186370.21736690099</v>
      </c>
    </row>
    <row r="151" spans="1:3">
      <c r="A151" s="15">
        <v>127</v>
      </c>
      <c r="B151" s="15">
        <v>681136.47085662617</v>
      </c>
      <c r="C151" s="15">
        <v>161021.44914337387</v>
      </c>
    </row>
    <row r="152" spans="1:3">
      <c r="A152" s="15">
        <v>128</v>
      </c>
      <c r="B152" s="15">
        <v>641335.98572916887</v>
      </c>
      <c r="C152" s="15">
        <v>55819.314270831179</v>
      </c>
    </row>
    <row r="153" spans="1:3">
      <c r="A153" s="15">
        <v>129</v>
      </c>
      <c r="B153" s="15">
        <v>701862.83957718674</v>
      </c>
      <c r="C153" s="15">
        <v>147155.46042281331</v>
      </c>
    </row>
    <row r="154" spans="1:3">
      <c r="A154" s="15">
        <v>130</v>
      </c>
      <c r="B154" s="15">
        <v>706463.57411491184</v>
      </c>
      <c r="C154" s="15">
        <v>95366.775885088136</v>
      </c>
    </row>
    <row r="155" spans="1:3">
      <c r="A155" s="15">
        <v>131</v>
      </c>
      <c r="B155" s="15">
        <v>668822.69132716337</v>
      </c>
      <c r="C155" s="15">
        <v>56412.58867283666</v>
      </c>
    </row>
    <row r="156" spans="1:3">
      <c r="A156" s="15">
        <v>132</v>
      </c>
      <c r="B156" s="15">
        <v>702299.9775046811</v>
      </c>
      <c r="C156" s="15">
        <v>109152.74249531887</v>
      </c>
    </row>
    <row r="157" spans="1:3">
      <c r="A157" s="15">
        <v>133</v>
      </c>
      <c r="B157" s="15">
        <v>710435.97745223157</v>
      </c>
      <c r="C157" s="15">
        <v>-183135.84745223157</v>
      </c>
    </row>
    <row r="158" spans="1:3">
      <c r="A158" s="15">
        <v>134</v>
      </c>
      <c r="B158" s="15">
        <v>607780.56543288182</v>
      </c>
      <c r="C158" s="15">
        <v>-206948.9154328818</v>
      </c>
    </row>
    <row r="159" spans="1:3">
      <c r="A159" s="15">
        <v>135</v>
      </c>
      <c r="B159" s="15">
        <v>672123.14976136864</v>
      </c>
      <c r="C159" s="15">
        <v>-78875.899761368637</v>
      </c>
    </row>
    <row r="160" spans="1:3">
      <c r="A160" s="15">
        <v>136</v>
      </c>
      <c r="B160" s="15">
        <v>710628.66142787179</v>
      </c>
      <c r="C160" s="15">
        <v>-181552.71142787184</v>
      </c>
    </row>
    <row r="161" spans="1:3">
      <c r="A161" s="15">
        <v>137</v>
      </c>
      <c r="B161" s="15">
        <v>712660.06333285978</v>
      </c>
      <c r="C161" s="15">
        <v>-79022.033332859748</v>
      </c>
    </row>
    <row r="162" spans="1:3">
      <c r="A162" s="15">
        <v>138</v>
      </c>
      <c r="B162" s="15">
        <v>720729.04554485087</v>
      </c>
      <c r="C162" s="15">
        <v>22619.794455149095</v>
      </c>
    </row>
    <row r="163" spans="1:3">
      <c r="A163" s="15">
        <v>139</v>
      </c>
      <c r="B163" s="15">
        <v>709376.9822333277</v>
      </c>
      <c r="C163" s="15">
        <v>49450.657766672317</v>
      </c>
    </row>
    <row r="164" spans="1:3">
      <c r="A164" s="15">
        <v>140</v>
      </c>
      <c r="B164" s="15">
        <v>654930.02335407212</v>
      </c>
      <c r="C164" s="15">
        <v>-8370.313354072161</v>
      </c>
    </row>
    <row r="165" spans="1:3">
      <c r="A165" s="15">
        <v>141</v>
      </c>
      <c r="B165" s="15">
        <v>670302.0647157334</v>
      </c>
      <c r="C165" s="15">
        <v>45588.465284266626</v>
      </c>
    </row>
    <row r="166" spans="1:3">
      <c r="A166" s="15">
        <v>142</v>
      </c>
      <c r="B166" s="15">
        <v>658112.75886416819</v>
      </c>
      <c r="C166" s="15">
        <v>56984.811135831755</v>
      </c>
    </row>
    <row r="167" spans="1:3">
      <c r="A167" s="15">
        <v>143</v>
      </c>
      <c r="B167" s="15">
        <v>654552.3431697241</v>
      </c>
      <c r="C167" s="15">
        <v>28086.936830275925</v>
      </c>
    </row>
    <row r="168" spans="1:3">
      <c r="A168" s="15">
        <v>144</v>
      </c>
      <c r="B168" s="15">
        <v>667678.02329283056</v>
      </c>
      <c r="C168" s="15">
        <v>27420.486707169446</v>
      </c>
    </row>
    <row r="169" spans="1:3">
      <c r="A169" s="15">
        <v>145</v>
      </c>
      <c r="B169" s="15">
        <v>710887.27705565433</v>
      </c>
      <c r="C169" s="15">
        <v>-133154.70705565438</v>
      </c>
    </row>
    <row r="170" spans="1:3">
      <c r="A170" s="15">
        <v>146</v>
      </c>
      <c r="B170" s="15">
        <v>669192.47078704601</v>
      </c>
      <c r="C170" s="15">
        <v>-132134.14078704605</v>
      </c>
    </row>
    <row r="171" spans="1:3">
      <c r="A171" s="15">
        <v>147</v>
      </c>
      <c r="B171" s="15">
        <v>674393.80945441127</v>
      </c>
      <c r="C171" s="15">
        <v>-72824.939454411273</v>
      </c>
    </row>
    <row r="172" spans="1:3">
      <c r="A172" s="15">
        <v>148</v>
      </c>
      <c r="B172" s="15">
        <v>689238.44019044167</v>
      </c>
      <c r="C172" s="15">
        <v>-118273.60019044171</v>
      </c>
    </row>
    <row r="173" spans="1:3">
      <c r="A173" s="15">
        <v>149</v>
      </c>
      <c r="B173" s="15">
        <v>670611.64108110522</v>
      </c>
      <c r="C173" s="15">
        <v>-56586.731081105187</v>
      </c>
    </row>
    <row r="174" spans="1:3">
      <c r="A174" s="15">
        <v>150</v>
      </c>
      <c r="B174" s="15">
        <v>653030.42086610873</v>
      </c>
      <c r="C174" s="15">
        <v>59837.929133891244</v>
      </c>
    </row>
    <row r="175" spans="1:3">
      <c r="A175" s="15">
        <v>151</v>
      </c>
      <c r="B175" s="15">
        <v>661066.60761805496</v>
      </c>
      <c r="C175" s="15">
        <v>35677.542381945066</v>
      </c>
    </row>
    <row r="176" spans="1:3">
      <c r="A176" s="15">
        <v>152</v>
      </c>
      <c r="B176" s="15">
        <v>713798.17227518361</v>
      </c>
      <c r="C176" s="15">
        <v>12049.817724816385</v>
      </c>
    </row>
    <row r="177" spans="1:3">
      <c r="A177" s="15">
        <v>153</v>
      </c>
      <c r="B177" s="15">
        <v>721869.56090729497</v>
      </c>
      <c r="C177" s="15">
        <v>63158.689092705026</v>
      </c>
    </row>
    <row r="178" spans="1:3">
      <c r="A178" s="15">
        <v>154</v>
      </c>
      <c r="B178" s="15">
        <v>697868.22476920031</v>
      </c>
      <c r="C178" s="15">
        <v>624.44523079972714</v>
      </c>
    </row>
    <row r="179" spans="1:3">
      <c r="A179" s="15">
        <v>155</v>
      </c>
      <c r="B179" s="15">
        <v>691605.33539253811</v>
      </c>
      <c r="C179" s="15">
        <v>-5775.0953925381182</v>
      </c>
    </row>
    <row r="180" spans="1:3">
      <c r="A180" s="15">
        <v>156</v>
      </c>
      <c r="B180" s="15">
        <v>651706.25092741335</v>
      </c>
      <c r="C180" s="15">
        <v>50612.689072586596</v>
      </c>
    </row>
    <row r="181" spans="1:3">
      <c r="A181" s="15">
        <v>157</v>
      </c>
      <c r="B181" s="15">
        <v>745801.89880477567</v>
      </c>
      <c r="C181" s="15">
        <v>-45723.578804775723</v>
      </c>
    </row>
    <row r="182" spans="1:3">
      <c r="A182" s="15">
        <v>158</v>
      </c>
      <c r="B182" s="15">
        <v>649927.92775435618</v>
      </c>
      <c r="C182" s="15">
        <v>-47925.607754356228</v>
      </c>
    </row>
    <row r="183" spans="1:3">
      <c r="A183" s="15">
        <v>159</v>
      </c>
      <c r="B183" s="15">
        <v>681988.85467724735</v>
      </c>
      <c r="C183" s="15">
        <v>42227.2153227526</v>
      </c>
    </row>
    <row r="184" spans="1:3">
      <c r="A184" s="15">
        <v>160</v>
      </c>
      <c r="B184" s="15">
        <v>610299.70397514757</v>
      </c>
      <c r="C184" s="15">
        <v>10673.32602485246</v>
      </c>
    </row>
    <row r="185" spans="1:3">
      <c r="A185" s="15">
        <v>161</v>
      </c>
      <c r="B185" s="15">
        <v>649034.20887662657</v>
      </c>
      <c r="C185" s="15">
        <v>1445.8511233734898</v>
      </c>
    </row>
    <row r="186" spans="1:3">
      <c r="A186" s="15">
        <v>162</v>
      </c>
      <c r="B186" s="15">
        <v>663931.52530626161</v>
      </c>
      <c r="C186" s="15">
        <v>114367.35469373839</v>
      </c>
    </row>
    <row r="187" spans="1:3">
      <c r="A187" s="15">
        <v>163</v>
      </c>
      <c r="B187" s="15">
        <v>682468.30726650089</v>
      </c>
      <c r="C187" s="15">
        <v>-5371.5972665009322</v>
      </c>
    </row>
    <row r="188" spans="1:3">
      <c r="A188" s="15">
        <v>164</v>
      </c>
      <c r="B188" s="15">
        <v>703183.36794207199</v>
      </c>
      <c r="C188" s="15">
        <v>-11174.727942071971</v>
      </c>
    </row>
    <row r="189" spans="1:3">
      <c r="A189" s="15">
        <v>165</v>
      </c>
      <c r="B189" s="15">
        <v>714427.33400996681</v>
      </c>
      <c r="C189" s="15">
        <v>111370.57599003322</v>
      </c>
    </row>
    <row r="190" spans="1:3">
      <c r="A190" s="15">
        <v>166</v>
      </c>
      <c r="B190" s="15">
        <v>635958.38211193902</v>
      </c>
      <c r="C190" s="15">
        <v>70327.137888060999</v>
      </c>
    </row>
    <row r="191" spans="1:3">
      <c r="A191" s="15">
        <v>167</v>
      </c>
      <c r="B191" s="15">
        <v>625307.43888551812</v>
      </c>
      <c r="C191" s="15">
        <v>40227.261114481837</v>
      </c>
    </row>
    <row r="192" spans="1:3">
      <c r="A192" s="15">
        <v>168</v>
      </c>
      <c r="B192" s="15">
        <v>727804.49568350834</v>
      </c>
      <c r="C192" s="15">
        <v>92924.794316491694</v>
      </c>
    </row>
    <row r="193" spans="1:3">
      <c r="A193" s="15">
        <v>169</v>
      </c>
      <c r="B193" s="15">
        <v>692937.04402789311</v>
      </c>
      <c r="C193" s="15">
        <v>46894.685972106876</v>
      </c>
    </row>
    <row r="194" spans="1:3">
      <c r="A194" s="15">
        <v>170</v>
      </c>
      <c r="B194" s="15">
        <v>630700.84395167872</v>
      </c>
      <c r="C194" s="15">
        <v>-37063.703951678704</v>
      </c>
    </row>
    <row r="195" spans="1:3">
      <c r="A195" s="15">
        <v>171</v>
      </c>
      <c r="B195" s="15">
        <v>669013.18184021628</v>
      </c>
      <c r="C195" s="15">
        <v>100689.57815978373</v>
      </c>
    </row>
    <row r="196" spans="1:3">
      <c r="A196" s="15">
        <v>172</v>
      </c>
      <c r="B196" s="15">
        <v>638733.66597460734</v>
      </c>
      <c r="C196" s="15">
        <v>40997.904025392607</v>
      </c>
    </row>
    <row r="197" spans="1:3">
      <c r="A197" s="15">
        <v>173</v>
      </c>
      <c r="B197" s="15">
        <v>699706.13345992344</v>
      </c>
      <c r="C197" s="15">
        <v>80638.046540076612</v>
      </c>
    </row>
    <row r="198" spans="1:3">
      <c r="A198" s="15">
        <v>174</v>
      </c>
      <c r="B198" s="15">
        <v>653724.74760591611</v>
      </c>
      <c r="C198" s="15">
        <v>67639.362394083873</v>
      </c>
    </row>
    <row r="199" spans="1:3">
      <c r="A199" s="15">
        <v>175</v>
      </c>
      <c r="B199" s="15">
        <v>705673.9701749481</v>
      </c>
      <c r="C199" s="15">
        <v>52464.319825051934</v>
      </c>
    </row>
    <row r="200" spans="1:3">
      <c r="A200" s="15">
        <v>176</v>
      </c>
      <c r="B200" s="15">
        <v>695034.16462749057</v>
      </c>
      <c r="C200" s="15">
        <v>109229.83537250943</v>
      </c>
    </row>
    <row r="201" spans="1:3">
      <c r="A201" s="15">
        <v>177</v>
      </c>
      <c r="B201" s="15">
        <v>704511.09427156439</v>
      </c>
      <c r="C201" s="15">
        <v>183026.65572843561</v>
      </c>
    </row>
    <row r="202" spans="1:3">
      <c r="A202" s="15">
        <v>178</v>
      </c>
      <c r="B202" s="15">
        <v>623364.11621607933</v>
      </c>
      <c r="C202" s="15">
        <v>160217.88378392067</v>
      </c>
    </row>
    <row r="203" spans="1:3">
      <c r="A203" s="15">
        <v>179</v>
      </c>
      <c r="B203" s="15">
        <v>647099.87301507022</v>
      </c>
      <c r="C203" s="15">
        <v>134855.6469849298</v>
      </c>
    </row>
    <row r="204" spans="1:3">
      <c r="A204" s="15">
        <v>180</v>
      </c>
      <c r="B204" s="15">
        <v>720243.26811687439</v>
      </c>
      <c r="C204" s="15">
        <v>177787.77188312565</v>
      </c>
    </row>
    <row r="205" spans="1:3">
      <c r="A205" s="15">
        <v>181</v>
      </c>
      <c r="B205" s="15">
        <v>706634.32346467802</v>
      </c>
      <c r="C205" s="15">
        <v>148706.95653532201</v>
      </c>
    </row>
    <row r="206" spans="1:3">
      <c r="A206" s="15">
        <v>182</v>
      </c>
      <c r="B206" s="15">
        <v>657053.84882827743</v>
      </c>
      <c r="C206" s="15">
        <v>94340.03117172257</v>
      </c>
    </row>
    <row r="207" spans="1:3">
      <c r="A207" s="15">
        <v>183</v>
      </c>
      <c r="B207" s="15">
        <v>694962.37664319749</v>
      </c>
      <c r="C207" s="15">
        <v>66114.703356802464</v>
      </c>
    </row>
    <row r="208" spans="1:3">
      <c r="A208" s="15">
        <v>184</v>
      </c>
      <c r="B208" s="15">
        <v>684183.85055890062</v>
      </c>
      <c r="C208" s="15">
        <v>135476.73944109934</v>
      </c>
    </row>
    <row r="209" spans="1:3">
      <c r="A209" s="15">
        <v>185</v>
      </c>
      <c r="B209" s="15">
        <v>713982.44442828</v>
      </c>
      <c r="C209" s="15">
        <v>-32126.88442827994</v>
      </c>
    </row>
    <row r="210" spans="1:3">
      <c r="A210" s="15">
        <v>186</v>
      </c>
      <c r="B210" s="15">
        <v>682478.06072150124</v>
      </c>
      <c r="C210" s="15">
        <v>-4166.8907215012005</v>
      </c>
    </row>
    <row r="211" spans="1:3">
      <c r="A211" s="15">
        <v>187</v>
      </c>
      <c r="B211" s="15">
        <v>663064.55389464647</v>
      </c>
      <c r="C211" s="15">
        <v>102842.39610535349</v>
      </c>
    </row>
    <row r="212" spans="1:3">
      <c r="A212" s="15">
        <v>188</v>
      </c>
      <c r="B212" s="15">
        <v>715778.05975299713</v>
      </c>
      <c r="C212" s="15">
        <v>-3231.6797529971227</v>
      </c>
    </row>
    <row r="213" spans="1:3">
      <c r="A213" s="15">
        <v>189</v>
      </c>
      <c r="B213" s="15">
        <v>713344.16811109474</v>
      </c>
      <c r="C213" s="15">
        <v>-87350.338111094781</v>
      </c>
    </row>
    <row r="214" spans="1:3">
      <c r="A214" s="15">
        <v>190</v>
      </c>
      <c r="B214" s="15">
        <v>679583.39286596817</v>
      </c>
      <c r="C214" s="15">
        <v>-128620.46286596812</v>
      </c>
    </row>
    <row r="215" spans="1:3">
      <c r="A215" s="15">
        <v>191</v>
      </c>
      <c r="B215" s="15">
        <v>641074.85720249976</v>
      </c>
      <c r="C215" s="15">
        <v>-197799.26720249973</v>
      </c>
    </row>
    <row r="216" spans="1:3">
      <c r="A216" s="15">
        <v>192</v>
      </c>
      <c r="B216" s="15">
        <v>677831.9662292985</v>
      </c>
      <c r="C216" s="15">
        <v>-123819.89622929855</v>
      </c>
    </row>
    <row r="217" spans="1:3">
      <c r="A217" s="15">
        <v>193</v>
      </c>
      <c r="B217" s="15">
        <v>734969.66483071703</v>
      </c>
      <c r="C217" s="15">
        <v>-91540.814830717049</v>
      </c>
    </row>
    <row r="218" spans="1:3">
      <c r="A218" s="15">
        <v>194</v>
      </c>
      <c r="B218" s="15">
        <v>669669.83639247855</v>
      </c>
      <c r="C218" s="15">
        <v>-57745.566392478533</v>
      </c>
    </row>
    <row r="219" spans="1:3">
      <c r="A219" s="15">
        <v>195</v>
      </c>
      <c r="B219" s="15">
        <v>646429.24844865885</v>
      </c>
      <c r="C219" s="15">
        <v>-87007.228448658832</v>
      </c>
    </row>
    <row r="220" spans="1:3">
      <c r="A220" s="15">
        <v>196</v>
      </c>
      <c r="B220" s="15">
        <v>649490.42779905617</v>
      </c>
      <c r="C220" s="15">
        <v>-200025.36779905617</v>
      </c>
    </row>
    <row r="221" spans="1:3">
      <c r="A221" s="15">
        <v>197</v>
      </c>
      <c r="B221" s="15">
        <v>713790.42062099115</v>
      </c>
      <c r="C221" s="15">
        <v>-22342.990620991099</v>
      </c>
    </row>
    <row r="222" spans="1:3">
      <c r="A222" s="15">
        <v>198</v>
      </c>
      <c r="B222" s="15">
        <v>675780.43983746483</v>
      </c>
      <c r="C222" s="15">
        <v>-101713.82983746484</v>
      </c>
    </row>
    <row r="223" spans="1:3">
      <c r="A223" s="15">
        <v>199</v>
      </c>
      <c r="B223" s="15">
        <v>676795.18248106143</v>
      </c>
      <c r="C223" s="15">
        <v>-97845.342481061467</v>
      </c>
    </row>
    <row r="224" spans="1:3">
      <c r="A224" s="15">
        <v>200</v>
      </c>
      <c r="B224" s="15">
        <v>691515.80804576632</v>
      </c>
      <c r="C224" s="15">
        <v>44270.831954233698</v>
      </c>
    </row>
    <row r="225" spans="1:3">
      <c r="A225" s="15">
        <v>201</v>
      </c>
      <c r="B225" s="15">
        <v>608294.41066367598</v>
      </c>
      <c r="C225" s="15">
        <v>-9389.5106636759592</v>
      </c>
    </row>
    <row r="226" spans="1:3">
      <c r="A226" s="15">
        <v>202</v>
      </c>
      <c r="B226" s="15">
        <v>727122.6695508738</v>
      </c>
      <c r="C226" s="15">
        <v>60592.840449126204</v>
      </c>
    </row>
    <row r="227" spans="1:3">
      <c r="A227" s="15">
        <v>203</v>
      </c>
      <c r="B227" s="15">
        <v>635745.27550890716</v>
      </c>
      <c r="C227" s="15">
        <v>-28660.355508907116</v>
      </c>
    </row>
    <row r="228" spans="1:3">
      <c r="A228" s="15">
        <v>204</v>
      </c>
      <c r="B228" s="15">
        <v>697292.23853034712</v>
      </c>
      <c r="C228" s="15">
        <v>-46496.748530347133</v>
      </c>
    </row>
    <row r="229" spans="1:3">
      <c r="A229" s="15">
        <v>205</v>
      </c>
      <c r="B229" s="15">
        <v>756890.23550773016</v>
      </c>
      <c r="C229" s="15">
        <v>68170.284492269857</v>
      </c>
    </row>
    <row r="230" spans="1:3">
      <c r="A230" s="15">
        <v>206</v>
      </c>
      <c r="B230" s="15">
        <v>676415.13846809976</v>
      </c>
      <c r="C230" s="15">
        <v>119049.33153190021</v>
      </c>
    </row>
    <row r="231" spans="1:3">
      <c r="A231" s="15">
        <v>207</v>
      </c>
      <c r="B231" s="15">
        <v>641665.75046864618</v>
      </c>
      <c r="C231" s="15">
        <v>30202.839531353791</v>
      </c>
    </row>
    <row r="232" spans="1:3">
      <c r="A232" s="15">
        <v>208</v>
      </c>
      <c r="B232" s="15">
        <v>680914.84595228394</v>
      </c>
      <c r="C232" s="15">
        <v>-4997.2159522839356</v>
      </c>
    </row>
    <row r="233" spans="1:3">
      <c r="A233" s="15">
        <v>209</v>
      </c>
      <c r="B233" s="15">
        <v>695914.21163161704</v>
      </c>
      <c r="C233" s="15">
        <v>114532.31836838298</v>
      </c>
    </row>
    <row r="234" spans="1:3">
      <c r="A234" s="15">
        <v>210</v>
      </c>
      <c r="B234" s="15">
        <v>694833.47344861843</v>
      </c>
      <c r="C234" s="15">
        <v>-3545.2834486184875</v>
      </c>
    </row>
    <row r="235" spans="1:3">
      <c r="A235" s="15">
        <v>211</v>
      </c>
      <c r="B235" s="15">
        <v>790707.99818862299</v>
      </c>
      <c r="C235" s="15">
        <v>156125.54181137704</v>
      </c>
    </row>
    <row r="236" spans="1:3">
      <c r="A236" s="15">
        <v>212</v>
      </c>
      <c r="B236" s="15">
        <v>665990.6116905082</v>
      </c>
      <c r="C236" s="15">
        <v>95972.61830949178</v>
      </c>
    </row>
    <row r="237" spans="1:3">
      <c r="A237" s="15">
        <v>213</v>
      </c>
      <c r="B237" s="15">
        <v>669146.02474915131</v>
      </c>
      <c r="C237" s="15">
        <v>143006.57525084866</v>
      </c>
    </row>
    <row r="238" spans="1:3">
      <c r="A238" s="15">
        <v>214</v>
      </c>
      <c r="B238" s="15">
        <v>649835.01438281348</v>
      </c>
      <c r="C238" s="15">
        <v>155140.48561718652</v>
      </c>
    </row>
    <row r="239" spans="1:3">
      <c r="A239" s="15">
        <v>215</v>
      </c>
      <c r="B239" s="15">
        <v>635943.98618272447</v>
      </c>
      <c r="C239" s="15">
        <v>116377.7338172755</v>
      </c>
    </row>
    <row r="240" spans="1:3">
      <c r="A240" s="15">
        <v>216</v>
      </c>
      <c r="B240" s="15">
        <v>661700.24146102602</v>
      </c>
      <c r="C240" s="15">
        <v>175207.99853897397</v>
      </c>
    </row>
    <row r="241" spans="1:3">
      <c r="A241" s="15">
        <v>217</v>
      </c>
      <c r="B241" s="15">
        <v>708102.51658277819</v>
      </c>
      <c r="C241" s="15">
        <v>-33813.416582778213</v>
      </c>
    </row>
    <row r="242" spans="1:3">
      <c r="A242" s="15">
        <v>218</v>
      </c>
      <c r="B242" s="15">
        <v>633155.92486809066</v>
      </c>
      <c r="C242" s="15">
        <v>-10263.504868090618</v>
      </c>
    </row>
    <row r="243" spans="1:3">
      <c r="A243" s="15">
        <v>219</v>
      </c>
      <c r="B243" s="15">
        <v>685965.13384166313</v>
      </c>
      <c r="C243" s="15">
        <v>-12616.573841663077</v>
      </c>
    </row>
    <row r="244" spans="1:3">
      <c r="A244" s="15">
        <v>220</v>
      </c>
      <c r="B244" s="15">
        <v>595812.79930264573</v>
      </c>
      <c r="C244" s="15">
        <v>10465.50069735432</v>
      </c>
    </row>
    <row r="245" spans="1:3">
      <c r="A245" s="15">
        <v>221</v>
      </c>
      <c r="B245" s="15">
        <v>674427.94654691254</v>
      </c>
      <c r="C245" s="15">
        <v>37791.863453087513</v>
      </c>
    </row>
    <row r="246" spans="1:3">
      <c r="A246" s="15">
        <v>222</v>
      </c>
      <c r="B246" s="15">
        <v>618690.37983612448</v>
      </c>
      <c r="C246" s="15">
        <v>53980.160163875553</v>
      </c>
    </row>
    <row r="247" spans="1:3">
      <c r="A247" s="15">
        <v>223</v>
      </c>
      <c r="B247" s="15">
        <v>703379.54442124953</v>
      </c>
      <c r="C247" s="15">
        <v>29288.375578750507</v>
      </c>
    </row>
    <row r="248" spans="1:3">
      <c r="A248" s="15">
        <v>224</v>
      </c>
      <c r="B248" s="15">
        <v>717388.42331996735</v>
      </c>
      <c r="C248" s="15">
        <v>6142.9766800326761</v>
      </c>
    </row>
    <row r="249" spans="1:3">
      <c r="A249" s="15">
        <v>225</v>
      </c>
      <c r="B249" s="15">
        <v>706040.55527183937</v>
      </c>
      <c r="C249" s="15">
        <v>-64475.955271839397</v>
      </c>
    </row>
    <row r="250" spans="1:3">
      <c r="A250" s="15">
        <v>226</v>
      </c>
      <c r="B250" s="15">
        <v>682644.38055458595</v>
      </c>
      <c r="C250" s="15">
        <v>-146098.89055458596</v>
      </c>
    </row>
    <row r="251" spans="1:3">
      <c r="A251" s="15">
        <v>227</v>
      </c>
      <c r="B251" s="15">
        <v>652204.31600503006</v>
      </c>
      <c r="C251" s="15">
        <v>-124522.75600503001</v>
      </c>
    </row>
    <row r="252" spans="1:3">
      <c r="A252" s="15">
        <v>228</v>
      </c>
      <c r="B252" s="15">
        <v>644557.92672104586</v>
      </c>
      <c r="C252" s="15">
        <v>-114958.98672104592</v>
      </c>
    </row>
    <row r="253" spans="1:3">
      <c r="A253" s="15">
        <v>229</v>
      </c>
      <c r="B253" s="15">
        <v>640262.10477872519</v>
      </c>
      <c r="C253" s="15">
        <v>-69298.794778725132</v>
      </c>
    </row>
    <row r="254" spans="1:3">
      <c r="A254" s="15">
        <v>230</v>
      </c>
      <c r="B254" s="15">
        <v>802986.72490819369</v>
      </c>
      <c r="C254" s="15">
        <v>67950.675091806334</v>
      </c>
    </row>
    <row r="255" spans="1:3">
      <c r="A255" s="15">
        <v>231</v>
      </c>
      <c r="B255" s="15">
        <v>631423.77088813565</v>
      </c>
      <c r="C255" s="15">
        <v>-34454.500888135633</v>
      </c>
    </row>
    <row r="256" spans="1:3">
      <c r="A256" s="15">
        <v>232</v>
      </c>
      <c r="B256" s="15">
        <v>615758.89162317745</v>
      </c>
      <c r="C256" s="15">
        <v>31753.958376822527</v>
      </c>
    </row>
    <row r="257" spans="1:3">
      <c r="A257" s="15">
        <v>233</v>
      </c>
      <c r="B257" s="15">
        <v>661382.57270940952</v>
      </c>
      <c r="C257" s="15">
        <v>-3310.4327094095061</v>
      </c>
    </row>
    <row r="258" spans="1:3">
      <c r="A258" s="15">
        <v>234</v>
      </c>
      <c r="B258" s="15">
        <v>692067.34675985877</v>
      </c>
      <c r="C258" s="15">
        <v>31237.763240141212</v>
      </c>
    </row>
    <row r="259" spans="1:3">
      <c r="A259" s="15">
        <v>235</v>
      </c>
      <c r="B259" s="15">
        <v>694051.9405991463</v>
      </c>
      <c r="C259" s="15">
        <v>-53385.410599146271</v>
      </c>
    </row>
    <row r="260" spans="1:3">
      <c r="A260" s="15">
        <v>236</v>
      </c>
      <c r="B260" s="15">
        <v>662878.00309594965</v>
      </c>
      <c r="C260" s="15">
        <v>7751.4769040503306</v>
      </c>
    </row>
    <row r="261" spans="1:3">
      <c r="A261" s="15">
        <v>237</v>
      </c>
      <c r="B261" s="15">
        <v>659792.80213585717</v>
      </c>
      <c r="C261" s="15">
        <v>61286.547864142805</v>
      </c>
    </row>
    <row r="262" spans="1:3">
      <c r="A262" s="15">
        <v>238</v>
      </c>
      <c r="B262" s="15">
        <v>716155.31402227969</v>
      </c>
      <c r="C262" s="15">
        <v>94199.705977720325</v>
      </c>
    </row>
    <row r="263" spans="1:3">
      <c r="A263" s="15">
        <v>239</v>
      </c>
      <c r="B263" s="15">
        <v>686550.17077565868</v>
      </c>
      <c r="C263" s="15">
        <v>75369.079224341316</v>
      </c>
    </row>
    <row r="264" spans="1:3">
      <c r="A264" s="15">
        <v>240</v>
      </c>
      <c r="B264" s="15">
        <v>616674.65160554764</v>
      </c>
      <c r="C264" s="15">
        <v>120395.52839445241</v>
      </c>
    </row>
    <row r="265" spans="1:3">
      <c r="A265" s="15">
        <v>241</v>
      </c>
      <c r="B265" s="15">
        <v>709634.91639700532</v>
      </c>
      <c r="C265" s="15">
        <v>67358.013602994732</v>
      </c>
    </row>
    <row r="266" spans="1:3">
      <c r="A266" s="15">
        <v>242</v>
      </c>
      <c r="B266" s="15">
        <v>671050.16323256248</v>
      </c>
      <c r="C266" s="15">
        <v>5287.2467674375512</v>
      </c>
    </row>
    <row r="267" spans="1:3">
      <c r="A267" s="15">
        <v>243</v>
      </c>
      <c r="B267" s="15">
        <v>711550.511995679</v>
      </c>
      <c r="C267" s="15">
        <v>116669.15800432104</v>
      </c>
    </row>
    <row r="268" spans="1:3">
      <c r="A268" s="15">
        <v>244</v>
      </c>
      <c r="B268" s="15">
        <v>674808.30999617337</v>
      </c>
      <c r="C268" s="15">
        <v>88351.610003826674</v>
      </c>
    </row>
    <row r="269" spans="1:3">
      <c r="A269" s="15">
        <v>245</v>
      </c>
      <c r="B269" s="15">
        <v>724631.55621991912</v>
      </c>
      <c r="C269" s="15">
        <v>77370.123780080932</v>
      </c>
    </row>
    <row r="270" spans="1:3">
      <c r="A270" s="15">
        <v>246</v>
      </c>
      <c r="B270" s="15">
        <v>663126.39676215965</v>
      </c>
      <c r="C270" s="15">
        <v>87344.943237840314</v>
      </c>
    </row>
    <row r="271" spans="1:3">
      <c r="A271" s="15">
        <v>247</v>
      </c>
      <c r="B271" s="15">
        <v>682993.75868283038</v>
      </c>
      <c r="C271" s="15">
        <v>-3762.8986828303896</v>
      </c>
    </row>
    <row r="272" spans="1:3">
      <c r="A272" s="15">
        <v>248</v>
      </c>
      <c r="B272" s="15">
        <v>606640.26302797056</v>
      </c>
      <c r="C272" s="15">
        <v>73248.476972029428</v>
      </c>
    </row>
    <row r="273" spans="1:3">
      <c r="A273" s="15">
        <v>249</v>
      </c>
      <c r="B273" s="15">
        <v>647927.38339586509</v>
      </c>
      <c r="C273" s="15">
        <v>-41143.713395865052</v>
      </c>
    </row>
    <row r="274" spans="1:3">
      <c r="A274" s="15">
        <v>250</v>
      </c>
      <c r="B274" s="15">
        <v>716092.7045076486</v>
      </c>
      <c r="C274" s="15">
        <v>-73341.284507648554</v>
      </c>
    </row>
    <row r="275" spans="1:3">
      <c r="A275" s="15">
        <v>251</v>
      </c>
      <c r="B275" s="15">
        <v>642471.96509616508</v>
      </c>
      <c r="C275" s="15">
        <v>5481.8149038349511</v>
      </c>
    </row>
    <row r="276" spans="1:3">
      <c r="A276" s="15">
        <v>252</v>
      </c>
      <c r="B276" s="15">
        <v>768370.35018370138</v>
      </c>
      <c r="C276" s="15">
        <v>-38929.900183701422</v>
      </c>
    </row>
    <row r="277" spans="1:3">
      <c r="A277" s="15">
        <v>253</v>
      </c>
      <c r="B277" s="15">
        <v>734980.44048187463</v>
      </c>
      <c r="C277" s="15">
        <v>29968.559518125374</v>
      </c>
    </row>
    <row r="278" spans="1:3">
      <c r="A278" s="15">
        <v>254</v>
      </c>
      <c r="B278" s="15">
        <v>696180.23818153958</v>
      </c>
      <c r="C278" s="15">
        <v>102866.70181846037</v>
      </c>
    </row>
    <row r="279" spans="1:3">
      <c r="A279" s="15">
        <v>255</v>
      </c>
      <c r="B279" s="15">
        <v>721374.4559393836</v>
      </c>
      <c r="C279" s="15">
        <v>-1294.915939383558</v>
      </c>
    </row>
    <row r="280" spans="1:3">
      <c r="A280" s="15">
        <v>256</v>
      </c>
      <c r="B280" s="15">
        <v>638059.8044536981</v>
      </c>
      <c r="C280" s="15">
        <v>-25669.664453698089</v>
      </c>
    </row>
    <row r="281" spans="1:3">
      <c r="A281" s="15">
        <v>257</v>
      </c>
      <c r="B281" s="15">
        <v>699780.22138557024</v>
      </c>
      <c r="C281" s="15">
        <v>140327.89861442975</v>
      </c>
    </row>
    <row r="282" spans="1:3">
      <c r="A282" s="15">
        <v>258</v>
      </c>
      <c r="B282" s="15">
        <v>621833.18580882833</v>
      </c>
      <c r="C282" s="15">
        <v>76054.904191171634</v>
      </c>
    </row>
    <row r="283" spans="1:3">
      <c r="A283" s="15">
        <v>259</v>
      </c>
      <c r="B283" s="15">
        <v>654881.87365591538</v>
      </c>
      <c r="C283" s="15">
        <v>91233.716344084591</v>
      </c>
    </row>
    <row r="284" spans="1:3">
      <c r="A284" s="15">
        <v>260</v>
      </c>
      <c r="B284" s="15">
        <v>642548.39555467223</v>
      </c>
      <c r="C284" s="15">
        <v>133561.92444532772</v>
      </c>
    </row>
    <row r="285" spans="1:3">
      <c r="A285" s="15">
        <v>261</v>
      </c>
      <c r="B285" s="15">
        <v>591697.43757358496</v>
      </c>
      <c r="C285" s="15">
        <v>-62844.817573584965</v>
      </c>
    </row>
    <row r="286" spans="1:3">
      <c r="A286" s="15">
        <v>262</v>
      </c>
      <c r="B286" s="15">
        <v>652962.82814521098</v>
      </c>
      <c r="C286" s="15">
        <v>-47211.498145211022</v>
      </c>
    </row>
    <row r="287" spans="1:3">
      <c r="A287" s="15">
        <v>263</v>
      </c>
      <c r="B287" s="15">
        <v>670345.16732036392</v>
      </c>
      <c r="C287" s="15">
        <v>7295.4826796361012</v>
      </c>
    </row>
    <row r="288" spans="1:3">
      <c r="A288" s="15">
        <v>264</v>
      </c>
      <c r="B288" s="15">
        <v>685758.41596461402</v>
      </c>
      <c r="C288" s="15">
        <v>-49145.185964614036</v>
      </c>
    </row>
    <row r="289" spans="1:3">
      <c r="A289" s="15">
        <v>265</v>
      </c>
      <c r="B289" s="15">
        <v>686383.76575956075</v>
      </c>
      <c r="C289" s="15">
        <v>22601.424240439199</v>
      </c>
    </row>
    <row r="290" spans="1:3">
      <c r="A290" s="15">
        <v>266</v>
      </c>
      <c r="B290" s="15">
        <v>717204.32153289719</v>
      </c>
      <c r="C290" s="15">
        <v>50588.618467102759</v>
      </c>
    </row>
    <row r="291" spans="1:3">
      <c r="A291" s="15">
        <v>267</v>
      </c>
      <c r="B291" s="15">
        <v>681316.3986760542</v>
      </c>
      <c r="C291" s="15">
        <v>64264.111323945806</v>
      </c>
    </row>
    <row r="292" spans="1:3">
      <c r="A292" s="15">
        <v>268</v>
      </c>
      <c r="B292" s="15">
        <v>704997.06336132041</v>
      </c>
      <c r="C292" s="15">
        <v>57331.246638679644</v>
      </c>
    </row>
    <row r="293" spans="1:3">
      <c r="A293" s="15">
        <v>269</v>
      </c>
      <c r="B293" s="15">
        <v>664600.3610293977</v>
      </c>
      <c r="C293" s="15">
        <v>-3966.3710293977056</v>
      </c>
    </row>
    <row r="294" spans="1:3">
      <c r="A294" s="15">
        <v>270</v>
      </c>
      <c r="B294" s="15">
        <v>611706.07552148798</v>
      </c>
      <c r="C294" s="15">
        <v>127668.48447851208</v>
      </c>
    </row>
    <row r="295" spans="1:3">
      <c r="A295" s="15">
        <v>271</v>
      </c>
      <c r="B295" s="15">
        <v>692801.00675596669</v>
      </c>
      <c r="C295" s="15">
        <v>106955.45324403327</v>
      </c>
    </row>
    <row r="296" spans="1:3">
      <c r="A296" s="15">
        <v>272</v>
      </c>
      <c r="B296" s="15">
        <v>623269.58436728758</v>
      </c>
      <c r="C296" s="15">
        <v>-29926.584367287578</v>
      </c>
    </row>
    <row r="297" spans="1:3">
      <c r="A297" s="15">
        <v>273</v>
      </c>
      <c r="B297" s="15">
        <v>668389.40793101187</v>
      </c>
      <c r="C297" s="15">
        <v>-23349.437931011897</v>
      </c>
    </row>
    <row r="298" spans="1:3">
      <c r="A298" s="15">
        <v>274</v>
      </c>
      <c r="B298" s="15">
        <v>598178.16121050634</v>
      </c>
      <c r="C298" s="15">
        <v>-36580.831210506381</v>
      </c>
    </row>
    <row r="299" spans="1:3">
      <c r="A299" s="15">
        <v>275</v>
      </c>
      <c r="B299" s="15">
        <v>662248.86265691975</v>
      </c>
      <c r="C299" s="15">
        <v>-26411.122656919761</v>
      </c>
    </row>
    <row r="300" spans="1:3">
      <c r="A300" s="15">
        <v>276</v>
      </c>
      <c r="B300" s="15">
        <v>642334.92692383472</v>
      </c>
      <c r="C300" s="15">
        <v>44402.943076165277</v>
      </c>
    </row>
    <row r="301" spans="1:3">
      <c r="A301" s="15">
        <v>277</v>
      </c>
      <c r="B301" s="15">
        <v>692351.26174253295</v>
      </c>
      <c r="C301" s="15">
        <v>-19274.921742532984</v>
      </c>
    </row>
    <row r="302" spans="1:3">
      <c r="A302" s="15">
        <v>278</v>
      </c>
      <c r="B302" s="15">
        <v>639214.56667508371</v>
      </c>
      <c r="C302" s="15">
        <v>99333.85332491633</v>
      </c>
    </row>
    <row r="303" spans="1:3">
      <c r="A303" s="15">
        <v>279</v>
      </c>
      <c r="B303" s="15">
        <v>664294.74567413528</v>
      </c>
      <c r="C303" s="15">
        <v>92325.024325864739</v>
      </c>
    </row>
    <row r="304" spans="1:3">
      <c r="A304" s="15">
        <v>280</v>
      </c>
      <c r="B304" s="15">
        <v>710452.54554828024</v>
      </c>
      <c r="C304" s="15">
        <v>50669.874451719807</v>
      </c>
    </row>
    <row r="305" spans="1:3">
      <c r="A305" s="15">
        <v>281</v>
      </c>
      <c r="B305" s="15">
        <v>658610.86653329153</v>
      </c>
      <c r="C305" s="15">
        <v>-133711.29653329158</v>
      </c>
    </row>
    <row r="306" spans="1:3">
      <c r="A306" s="15">
        <v>282</v>
      </c>
      <c r="B306" s="15">
        <v>634825.36285464815</v>
      </c>
      <c r="C306" s="15">
        <v>-79267.59285464813</v>
      </c>
    </row>
    <row r="307" spans="1:3">
      <c r="A307" s="15">
        <v>283</v>
      </c>
      <c r="B307" s="15">
        <v>701551.19752374734</v>
      </c>
      <c r="C307" s="15">
        <v>12532.482476252713</v>
      </c>
    </row>
    <row r="308" spans="1:3">
      <c r="A308" s="15">
        <v>284</v>
      </c>
      <c r="B308" s="15">
        <v>600385.76417809899</v>
      </c>
      <c r="C308" s="15">
        <v>-102945.94417809899</v>
      </c>
    </row>
    <row r="309" spans="1:3">
      <c r="A309" s="15">
        <v>285</v>
      </c>
      <c r="B309" s="15">
        <v>688941.70516429527</v>
      </c>
      <c r="C309" s="15">
        <v>-52166.045164295239</v>
      </c>
    </row>
    <row r="310" spans="1:3">
      <c r="A310" s="15">
        <v>286</v>
      </c>
      <c r="B310" s="15">
        <v>719514.05893320113</v>
      </c>
      <c r="C310" s="15">
        <v>-86504.528933201102</v>
      </c>
    </row>
    <row r="311" spans="1:3">
      <c r="A311" s="15">
        <v>287</v>
      </c>
      <c r="B311" s="15">
        <v>678696.12660148111</v>
      </c>
      <c r="C311" s="15">
        <v>-68747.126601481112</v>
      </c>
    </row>
    <row r="312" spans="1:3">
      <c r="A312" s="15">
        <v>288</v>
      </c>
      <c r="B312" s="15">
        <v>647938.07386400958</v>
      </c>
      <c r="C312" s="15">
        <v>-99834.373864009627</v>
      </c>
    </row>
    <row r="313" spans="1:3">
      <c r="A313" s="15">
        <v>289</v>
      </c>
      <c r="B313" s="15">
        <v>709874.04641054035</v>
      </c>
      <c r="C313" s="15">
        <v>19550.37358945969</v>
      </c>
    </row>
    <row r="314" spans="1:3">
      <c r="A314" s="15">
        <v>290</v>
      </c>
      <c r="B314" s="15">
        <v>707524.80538790964</v>
      </c>
      <c r="C314" s="15">
        <v>-11263.31538790965</v>
      </c>
    </row>
    <row r="315" spans="1:3">
      <c r="A315" s="15">
        <v>291</v>
      </c>
      <c r="B315" s="15">
        <v>681603.69968349941</v>
      </c>
      <c r="C315" s="15">
        <v>131713.01031650056</v>
      </c>
    </row>
    <row r="316" spans="1:3">
      <c r="A316" s="15">
        <v>292</v>
      </c>
      <c r="B316" s="15">
        <v>675946.71707904304</v>
      </c>
      <c r="C316" s="15">
        <v>26122.202920957003</v>
      </c>
    </row>
    <row r="317" spans="1:3">
      <c r="A317" s="15">
        <v>293</v>
      </c>
      <c r="B317" s="15">
        <v>671507.42564690253</v>
      </c>
      <c r="C317" s="15">
        <v>-125283.72564690257</v>
      </c>
    </row>
    <row r="318" spans="1:3">
      <c r="A318" s="15">
        <v>294</v>
      </c>
      <c r="B318" s="15">
        <v>646179.44926273264</v>
      </c>
      <c r="C318" s="15">
        <v>-113058.18926273263</v>
      </c>
    </row>
    <row r="319" spans="1:3">
      <c r="A319" s="15">
        <v>295</v>
      </c>
      <c r="B319" s="15">
        <v>688180.27550591552</v>
      </c>
      <c r="C319" s="15">
        <v>-189209.95550591551</v>
      </c>
    </row>
    <row r="320" spans="1:3">
      <c r="A320" s="15">
        <v>296</v>
      </c>
      <c r="B320" s="15">
        <v>619124.04655583482</v>
      </c>
      <c r="C320" s="15">
        <v>-131385.78655583481</v>
      </c>
    </row>
    <row r="321" spans="1:3">
      <c r="A321" s="15">
        <v>297</v>
      </c>
      <c r="B321" s="15">
        <v>679180.79665028735</v>
      </c>
      <c r="C321" s="15">
        <v>-10721.426650287351</v>
      </c>
    </row>
    <row r="322" spans="1:3">
      <c r="A322" s="15">
        <v>298</v>
      </c>
      <c r="B322" s="15">
        <v>678921.09493908775</v>
      </c>
      <c r="C322" s="15">
        <v>84241.355060912203</v>
      </c>
    </row>
    <row r="323" spans="1:3">
      <c r="A323" s="15">
        <v>299</v>
      </c>
      <c r="B323" s="15">
        <v>659109.84732829907</v>
      </c>
      <c r="C323" s="15">
        <v>-60092.517328299116</v>
      </c>
    </row>
    <row r="324" spans="1:3">
      <c r="A324" s="15">
        <v>300</v>
      </c>
      <c r="B324" s="15">
        <v>612660.14656400145</v>
      </c>
      <c r="C324" s="15">
        <v>-211077.56656400143</v>
      </c>
    </row>
    <row r="325" spans="1:3">
      <c r="A325" s="15">
        <v>301</v>
      </c>
      <c r="B325" s="15">
        <v>647339.62060545024</v>
      </c>
      <c r="C325" s="15">
        <v>56473.369394549751</v>
      </c>
    </row>
    <row r="326" spans="1:3">
      <c r="A326" s="15">
        <v>302</v>
      </c>
      <c r="B326" s="15">
        <v>697042.4393444208</v>
      </c>
      <c r="C326" s="15">
        <v>27304.290655579185</v>
      </c>
    </row>
    <row r="327" spans="1:3">
      <c r="A327" s="15">
        <v>303</v>
      </c>
      <c r="B327" s="15">
        <v>673312.09166676202</v>
      </c>
      <c r="C327" s="15">
        <v>57577.918333237991</v>
      </c>
    </row>
    <row r="328" spans="1:3">
      <c r="A328" s="15">
        <v>304</v>
      </c>
      <c r="B328" s="15">
        <v>628917.89960016066</v>
      </c>
      <c r="C328" s="15">
        <v>151663.0503998393</v>
      </c>
    </row>
    <row r="329" spans="1:3">
      <c r="A329" s="15">
        <v>305</v>
      </c>
      <c r="B329" s="15">
        <v>677793.29314134945</v>
      </c>
      <c r="C329" s="15">
        <v>50164.18685865053</v>
      </c>
    </row>
    <row r="330" spans="1:3">
      <c r="A330" s="15">
        <v>306</v>
      </c>
      <c r="B330" s="15">
        <v>659049.23961447587</v>
      </c>
      <c r="C330" s="15">
        <v>-120673.23961447587</v>
      </c>
    </row>
    <row r="331" spans="1:3">
      <c r="A331" s="15">
        <v>307</v>
      </c>
      <c r="B331" s="15">
        <v>608452.7019977757</v>
      </c>
      <c r="C331" s="15">
        <v>56889.78800222429</v>
      </c>
    </row>
    <row r="332" spans="1:3">
      <c r="A332" s="15">
        <v>308</v>
      </c>
      <c r="B332" s="15">
        <v>690008.60110766452</v>
      </c>
      <c r="C332" s="15">
        <v>-38844.421107664471</v>
      </c>
    </row>
    <row r="333" spans="1:3">
      <c r="A333" s="15">
        <v>309</v>
      </c>
      <c r="B333" s="15">
        <v>663988.49144627457</v>
      </c>
      <c r="C333" s="15">
        <v>-35450.191446274519</v>
      </c>
    </row>
    <row r="334" spans="1:3">
      <c r="A334" s="15">
        <v>310</v>
      </c>
      <c r="B334" s="15">
        <v>611253.34910259559</v>
      </c>
      <c r="C334" s="15">
        <v>-74728.509102595621</v>
      </c>
    </row>
    <row r="335" spans="1:3">
      <c r="A335" s="15">
        <v>311</v>
      </c>
      <c r="B335" s="15">
        <v>676462.13819557964</v>
      </c>
      <c r="C335" s="15">
        <v>-54784.838195579592</v>
      </c>
    </row>
    <row r="336" spans="1:3">
      <c r="A336" s="15">
        <v>312</v>
      </c>
      <c r="B336" s="15">
        <v>743977.42773436964</v>
      </c>
      <c r="C336" s="15">
        <v>27151.642265630304</v>
      </c>
    </row>
    <row r="337" spans="1:3">
      <c r="A337" s="15">
        <v>313</v>
      </c>
      <c r="B337" s="15">
        <v>728944.62772239337</v>
      </c>
      <c r="C337" s="15">
        <v>-26892.1577223934</v>
      </c>
    </row>
    <row r="338" spans="1:3">
      <c r="A338" s="15">
        <v>314</v>
      </c>
      <c r="B338" s="15">
        <v>660373.30307440483</v>
      </c>
      <c r="C338" s="15">
        <v>27995.156925595133</v>
      </c>
    </row>
    <row r="339" spans="1:3">
      <c r="A339" s="15">
        <v>315</v>
      </c>
      <c r="B339" s="15">
        <v>693891.05118314689</v>
      </c>
      <c r="C339" s="15">
        <v>18484.718816853128</v>
      </c>
    </row>
    <row r="340" spans="1:3">
      <c r="A340" s="15">
        <v>316</v>
      </c>
      <c r="B340" s="15">
        <v>702300.99970083835</v>
      </c>
      <c r="C340" s="15">
        <v>142409.67029916169</v>
      </c>
    </row>
    <row r="341" spans="1:3">
      <c r="A341" s="15">
        <v>317</v>
      </c>
      <c r="B341" s="15">
        <v>723933.31106150895</v>
      </c>
      <c r="C341" s="15">
        <v>-103669.111061509</v>
      </c>
    </row>
    <row r="342" spans="1:3">
      <c r="A342" s="15">
        <v>318</v>
      </c>
      <c r="B342" s="15">
        <v>612074.68371494045</v>
      </c>
      <c r="C342" s="15">
        <v>-75229.263714940404</v>
      </c>
    </row>
    <row r="343" spans="1:3">
      <c r="A343" s="15">
        <v>319</v>
      </c>
      <c r="B343" s="15">
        <v>735195.05908338912</v>
      </c>
      <c r="C343" s="15">
        <v>-8418.8390833891463</v>
      </c>
    </row>
    <row r="344" spans="1:3" ht="15" thickBot="1">
      <c r="A344" s="16">
        <v>320</v>
      </c>
      <c r="B344" s="16">
        <v>647138.24796247343</v>
      </c>
      <c r="C344" s="16">
        <v>-87477.407962473459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EE395-6E2F-456D-9122-95CA13A0F51F}">
  <dimension ref="A1:I344"/>
  <sheetViews>
    <sheetView workbookViewId="0">
      <selection activeCell="B5" sqref="B5"/>
    </sheetView>
  </sheetViews>
  <sheetFormatPr defaultRowHeight="14.4"/>
  <cols>
    <col min="1" max="1" width="16.5546875" customWidth="1"/>
    <col min="2" max="2" width="21.44140625" bestFit="1" customWidth="1"/>
    <col min="3" max="3" width="13.44140625" bestFit="1" customWidth="1"/>
    <col min="6" max="6" width="12.44140625" bestFit="1" customWidth="1"/>
    <col min="7" max="7" width="12" bestFit="1" customWidth="1"/>
    <col min="8" max="9" width="12.109375" bestFit="1" customWidth="1"/>
  </cols>
  <sheetData>
    <row r="1" spans="1:9">
      <c r="A1" t="s">
        <v>128</v>
      </c>
    </row>
    <row r="2" spans="1:9" ht="15" thickBot="1"/>
    <row r="3" spans="1:9">
      <c r="A3" s="18" t="s">
        <v>129</v>
      </c>
      <c r="B3" s="18"/>
    </row>
    <row r="4" spans="1:9">
      <c r="A4" s="15" t="s">
        <v>130</v>
      </c>
      <c r="B4" s="15">
        <v>9.1052199448449889E-2</v>
      </c>
    </row>
    <row r="5" spans="1:9">
      <c r="A5" s="15" t="s">
        <v>131</v>
      </c>
      <c r="B5" s="15">
        <v>8.2905030244003006E-3</v>
      </c>
    </row>
    <row r="6" spans="1:9">
      <c r="A6" s="15" t="s">
        <v>132</v>
      </c>
      <c r="B6" s="15">
        <v>5.171919700577658E-3</v>
      </c>
    </row>
    <row r="7" spans="1:9">
      <c r="A7" s="15" t="s">
        <v>133</v>
      </c>
      <c r="B7" s="15">
        <v>103502.94470614102</v>
      </c>
    </row>
    <row r="8" spans="1:9" ht="15" thickBot="1">
      <c r="A8" s="16" t="s">
        <v>134</v>
      </c>
      <c r="B8" s="16">
        <v>320</v>
      </c>
    </row>
    <row r="10" spans="1:9" ht="15" thickBot="1">
      <c r="A10" t="s">
        <v>135</v>
      </c>
    </row>
    <row r="11" spans="1:9">
      <c r="A11" s="17"/>
      <c r="B11" s="17" t="s">
        <v>140</v>
      </c>
      <c r="C11" s="17" t="s">
        <v>141</v>
      </c>
      <c r="D11" s="17" t="s">
        <v>142</v>
      </c>
      <c r="E11" s="17" t="s">
        <v>143</v>
      </c>
      <c r="F11" s="17" t="s">
        <v>144</v>
      </c>
    </row>
    <row r="12" spans="1:9">
      <c r="A12" s="15" t="s">
        <v>136</v>
      </c>
      <c r="B12" s="15">
        <v>1</v>
      </c>
      <c r="C12" s="15">
        <v>28479275806.828613</v>
      </c>
      <c r="D12" s="15">
        <v>28479275806.828613</v>
      </c>
      <c r="E12" s="15">
        <v>2.658419597472264</v>
      </c>
      <c r="F12" s="15">
        <v>0.10399304641903476</v>
      </c>
    </row>
    <row r="13" spans="1:9">
      <c r="A13" s="15" t="s">
        <v>137</v>
      </c>
      <c r="B13" s="15">
        <v>318</v>
      </c>
      <c r="C13" s="15">
        <v>3406689340983.9106</v>
      </c>
      <c r="D13" s="15">
        <v>10712859562.842485</v>
      </c>
      <c r="E13" s="15"/>
      <c r="F13" s="15"/>
    </row>
    <row r="14" spans="1:9" ht="15" thickBot="1">
      <c r="A14" s="16" t="s">
        <v>138</v>
      </c>
      <c r="B14" s="16">
        <v>319</v>
      </c>
      <c r="C14" s="16">
        <v>3435168616790.7393</v>
      </c>
      <c r="D14" s="16"/>
      <c r="E14" s="16"/>
      <c r="F14" s="16"/>
    </row>
    <row r="15" spans="1:9" ht="15" thickBot="1"/>
    <row r="16" spans="1:9">
      <c r="A16" s="17"/>
      <c r="B16" s="17" t="s">
        <v>145</v>
      </c>
      <c r="C16" s="17" t="s">
        <v>133</v>
      </c>
      <c r="D16" s="17" t="s">
        <v>146</v>
      </c>
      <c r="E16" s="17" t="s">
        <v>147</v>
      </c>
      <c r="F16" s="17" t="s">
        <v>148</v>
      </c>
      <c r="G16" s="17" t="s">
        <v>149</v>
      </c>
      <c r="H16" s="17" t="s">
        <v>150</v>
      </c>
      <c r="I16" s="17" t="s">
        <v>151</v>
      </c>
    </row>
    <row r="17" spans="1:9">
      <c r="A17" s="15" t="s">
        <v>139</v>
      </c>
      <c r="B17" s="15">
        <v>697835.62958654074</v>
      </c>
      <c r="C17" s="15">
        <v>12035.418765239492</v>
      </c>
      <c r="D17" s="15">
        <v>57.981832057395351</v>
      </c>
      <c r="E17" s="15">
        <v>3.8725943752004609E-171</v>
      </c>
      <c r="F17" s="15">
        <v>674156.52149354888</v>
      </c>
      <c r="G17" s="15">
        <v>721514.73767953261</v>
      </c>
      <c r="H17" s="15">
        <v>674156.52149354888</v>
      </c>
      <c r="I17" s="15">
        <v>721514.73767953261</v>
      </c>
    </row>
    <row r="18" spans="1:9" ht="15" thickBot="1">
      <c r="A18" s="16" t="s">
        <v>6</v>
      </c>
      <c r="B18" s="16">
        <v>-138730.45471638071</v>
      </c>
      <c r="C18" s="16">
        <v>85086.379579668472</v>
      </c>
      <c r="D18" s="16">
        <v>-1.6304660675623643</v>
      </c>
      <c r="E18" s="16">
        <v>0.10399304641903374</v>
      </c>
      <c r="F18" s="16">
        <v>-306133.81795682968</v>
      </c>
      <c r="G18" s="16">
        <v>28672.908524068218</v>
      </c>
      <c r="H18" s="16">
        <v>-306133.81795682968</v>
      </c>
      <c r="I18" s="16">
        <v>28672.908524068218</v>
      </c>
    </row>
    <row r="22" spans="1:9">
      <c r="A22" t="s">
        <v>152</v>
      </c>
    </row>
    <row r="23" spans="1:9" ht="15" thickBot="1"/>
    <row r="24" spans="1:9">
      <c r="A24" s="17" t="s">
        <v>153</v>
      </c>
      <c r="B24" s="17" t="s">
        <v>154</v>
      </c>
      <c r="C24" s="17" t="s">
        <v>155</v>
      </c>
    </row>
    <row r="25" spans="1:9">
      <c r="A25" s="15">
        <v>1</v>
      </c>
      <c r="B25" s="15">
        <v>692008.9504884528</v>
      </c>
      <c r="C25" s="15">
        <v>-33176.330488452804</v>
      </c>
    </row>
    <row r="26" spans="1:9">
      <c r="A26" s="15">
        <v>2</v>
      </c>
      <c r="B26" s="15">
        <v>674528.91319418873</v>
      </c>
      <c r="C26" s="15">
        <v>-40092.913194188732</v>
      </c>
    </row>
    <row r="27" spans="1:9">
      <c r="A27" s="15">
        <v>3</v>
      </c>
      <c r="B27" s="15">
        <v>679384.47910926212</v>
      </c>
      <c r="C27" s="15">
        <v>-662.41910926206037</v>
      </c>
    </row>
    <row r="28" spans="1:9">
      <c r="A28" s="15">
        <v>4</v>
      </c>
      <c r="B28" s="15">
        <v>678135.90501681471</v>
      </c>
      <c r="C28" s="15">
        <v>-19215.605016814661</v>
      </c>
    </row>
    <row r="29" spans="1:9">
      <c r="A29" s="15">
        <v>5</v>
      </c>
      <c r="B29" s="15">
        <v>665788.89454705676</v>
      </c>
      <c r="C29" s="15">
        <v>75552.545452943188</v>
      </c>
    </row>
    <row r="30" spans="1:9">
      <c r="A30" s="15">
        <v>6</v>
      </c>
      <c r="B30" s="15">
        <v>682297.81865830615</v>
      </c>
      <c r="C30" s="15">
        <v>79537.52134169382</v>
      </c>
    </row>
    <row r="31" spans="1:9">
      <c r="A31" s="15">
        <v>7</v>
      </c>
      <c r="B31" s="15">
        <v>680910.51411114226</v>
      </c>
      <c r="C31" s="15">
        <v>125705.02588885778</v>
      </c>
    </row>
    <row r="32" spans="1:9">
      <c r="A32" s="15">
        <v>8</v>
      </c>
      <c r="B32" s="15">
        <v>680216.86183756043</v>
      </c>
      <c r="C32" s="15">
        <v>169947.39816243958</v>
      </c>
    </row>
    <row r="33" spans="1:3">
      <c r="A33" s="15">
        <v>9</v>
      </c>
      <c r="B33" s="15">
        <v>668008.58182251884</v>
      </c>
      <c r="C33" s="15">
        <v>262573.11817748111</v>
      </c>
    </row>
    <row r="34" spans="1:3">
      <c r="A34" s="15">
        <v>10</v>
      </c>
      <c r="B34" s="15">
        <v>667314.92954893701</v>
      </c>
      <c r="C34" s="15">
        <v>111696.01045106293</v>
      </c>
    </row>
    <row r="35" spans="1:3">
      <c r="A35" s="15">
        <v>11</v>
      </c>
      <c r="B35" s="15">
        <v>668286.04273195169</v>
      </c>
      <c r="C35" s="15">
        <v>54774.71726804832</v>
      </c>
    </row>
    <row r="36" spans="1:3">
      <c r="A36" s="15">
        <v>12</v>
      </c>
      <c r="B36" s="15">
        <v>697558.16867710801</v>
      </c>
      <c r="C36" s="15">
        <v>213233.77132289193</v>
      </c>
    </row>
    <row r="37" spans="1:3">
      <c r="A37" s="15">
        <v>13</v>
      </c>
      <c r="B37" s="15">
        <v>681742.89683944057</v>
      </c>
      <c r="C37" s="15">
        <v>240425.70316055941</v>
      </c>
    </row>
    <row r="38" spans="1:3">
      <c r="A38" s="15">
        <v>14</v>
      </c>
      <c r="B38" s="15">
        <v>677580.98319794913</v>
      </c>
      <c r="C38" s="15">
        <v>49025.2968020509</v>
      </c>
    </row>
    <row r="39" spans="1:3">
      <c r="A39" s="15">
        <v>15</v>
      </c>
      <c r="B39" s="15">
        <v>666205.08591120597</v>
      </c>
      <c r="C39" s="15">
        <v>80296.004088793998</v>
      </c>
    </row>
    <row r="40" spans="1:3">
      <c r="A40" s="15">
        <v>16</v>
      </c>
      <c r="B40" s="15">
        <v>697003.24685824243</v>
      </c>
      <c r="C40" s="15">
        <v>137013.77314175759</v>
      </c>
    </row>
    <row r="41" spans="1:3">
      <c r="A41" s="15">
        <v>17</v>
      </c>
      <c r="B41" s="15">
        <v>697141.9773129588</v>
      </c>
      <c r="C41" s="15">
        <v>-30989.457312958781</v>
      </c>
    </row>
    <row r="42" spans="1:3">
      <c r="A42" s="15">
        <v>18</v>
      </c>
      <c r="B42" s="15">
        <v>681326.70547529147</v>
      </c>
      <c r="C42" s="15">
        <v>-108171.51547529153</v>
      </c>
    </row>
    <row r="43" spans="1:3">
      <c r="A43" s="15">
        <v>19</v>
      </c>
      <c r="B43" s="15">
        <v>697835.62958654074</v>
      </c>
      <c r="C43" s="15">
        <v>-31262.429586540791</v>
      </c>
    </row>
    <row r="44" spans="1:3">
      <c r="A44" s="15">
        <v>20</v>
      </c>
      <c r="B44" s="15">
        <v>675916.21774135262</v>
      </c>
      <c r="C44" s="15">
        <v>-84296.267741352669</v>
      </c>
    </row>
    <row r="45" spans="1:3">
      <c r="A45" s="15">
        <v>21</v>
      </c>
      <c r="B45" s="15">
        <v>665788.89454705676</v>
      </c>
      <c r="C45" s="15">
        <v>-250067.07454705675</v>
      </c>
    </row>
    <row r="46" spans="1:3">
      <c r="A46" s="15">
        <v>22</v>
      </c>
      <c r="B46" s="15">
        <v>673419.06955645769</v>
      </c>
      <c r="C46" s="15">
        <v>-181513.93955645768</v>
      </c>
    </row>
    <row r="47" spans="1:3">
      <c r="A47" s="15">
        <v>23</v>
      </c>
      <c r="B47" s="15">
        <v>675638.75683191977</v>
      </c>
      <c r="C47" s="15">
        <v>-119709.35683191975</v>
      </c>
    </row>
    <row r="48" spans="1:3">
      <c r="A48" s="15">
        <v>24</v>
      </c>
      <c r="B48" s="15">
        <v>667869.85136780248</v>
      </c>
      <c r="C48" s="15">
        <v>-102058.86136780248</v>
      </c>
    </row>
    <row r="49" spans="1:3">
      <c r="A49" s="15">
        <v>25</v>
      </c>
      <c r="B49" s="15">
        <v>681049.24456585874</v>
      </c>
      <c r="C49" s="15">
        <v>130721.89543414128</v>
      </c>
    </row>
    <row r="50" spans="1:3">
      <c r="A50" s="15">
        <v>26</v>
      </c>
      <c r="B50" s="15">
        <v>678413.36592624744</v>
      </c>
      <c r="C50" s="15">
        <v>122038.5740737525</v>
      </c>
    </row>
    <row r="51" spans="1:3">
      <c r="A51" s="15">
        <v>27</v>
      </c>
      <c r="B51" s="15">
        <v>674390.18273947237</v>
      </c>
      <c r="C51" s="15">
        <v>109282.63726052758</v>
      </c>
    </row>
    <row r="52" spans="1:3">
      <c r="A52" s="15">
        <v>28</v>
      </c>
      <c r="B52" s="15">
        <v>680910.51411114226</v>
      </c>
      <c r="C52" s="15">
        <v>20731.455888857716</v>
      </c>
    </row>
    <row r="53" spans="1:3">
      <c r="A53" s="15">
        <v>29</v>
      </c>
      <c r="B53" s="15">
        <v>680633.05320170952</v>
      </c>
      <c r="C53" s="15">
        <v>-168788.64320170955</v>
      </c>
    </row>
    <row r="54" spans="1:3">
      <c r="A54" s="15">
        <v>30</v>
      </c>
      <c r="B54" s="15">
        <v>667869.85136780248</v>
      </c>
      <c r="C54" s="15">
        <v>-130486.06136780244</v>
      </c>
    </row>
    <row r="55" spans="1:3">
      <c r="A55" s="15">
        <v>31</v>
      </c>
      <c r="B55" s="15">
        <v>678968.28774511302</v>
      </c>
      <c r="C55" s="15">
        <v>-178795.267745113</v>
      </c>
    </row>
    <row r="56" spans="1:3">
      <c r="A56" s="15">
        <v>32</v>
      </c>
      <c r="B56" s="15">
        <v>674528.91319418873</v>
      </c>
      <c r="C56" s="15">
        <v>-246611.53319418873</v>
      </c>
    </row>
    <row r="57" spans="1:3">
      <c r="A57" s="15">
        <v>33</v>
      </c>
      <c r="B57" s="15">
        <v>671754.30409986118</v>
      </c>
      <c r="C57" s="15">
        <v>-29889.274099861155</v>
      </c>
    </row>
    <row r="58" spans="1:3">
      <c r="A58" s="15">
        <v>34</v>
      </c>
      <c r="B58" s="15">
        <v>688124.49775639409</v>
      </c>
      <c r="C58" s="15">
        <v>111353.26224360592</v>
      </c>
    </row>
    <row r="59" spans="1:3">
      <c r="A59" s="15">
        <v>35</v>
      </c>
      <c r="B59" s="15">
        <v>692425.1418526019</v>
      </c>
      <c r="C59" s="15">
        <v>106527.02814739814</v>
      </c>
    </row>
    <row r="60" spans="1:3">
      <c r="A60" s="15">
        <v>36</v>
      </c>
      <c r="B60" s="15">
        <v>663569.20727159467</v>
      </c>
      <c r="C60" s="15">
        <v>137410.57272840536</v>
      </c>
    </row>
    <row r="61" spans="1:3">
      <c r="A61" s="15">
        <v>37</v>
      </c>
      <c r="B61" s="15">
        <v>685072.4277526337</v>
      </c>
      <c r="C61" s="15">
        <v>135521.50224736636</v>
      </c>
    </row>
    <row r="62" spans="1:3">
      <c r="A62" s="15">
        <v>38</v>
      </c>
      <c r="B62" s="15">
        <v>676193.67865078535</v>
      </c>
      <c r="C62" s="15">
        <v>42136.851349214674</v>
      </c>
    </row>
    <row r="63" spans="1:3">
      <c r="A63" s="15">
        <v>39</v>
      </c>
      <c r="B63" s="15">
        <v>670366.99955269741</v>
      </c>
      <c r="C63" s="15">
        <v>66266.400447302614</v>
      </c>
    </row>
    <row r="64" spans="1:3">
      <c r="A64" s="15">
        <v>40</v>
      </c>
      <c r="B64" s="15">
        <v>686043.54093564837</v>
      </c>
      <c r="C64" s="15">
        <v>142580.3090643516</v>
      </c>
    </row>
    <row r="65" spans="1:3">
      <c r="A65" s="15">
        <v>41</v>
      </c>
      <c r="B65" s="15">
        <v>667592.39045836974</v>
      </c>
      <c r="C65" s="15">
        <v>-75396.540458369767</v>
      </c>
    </row>
    <row r="66" spans="1:3">
      <c r="A66" s="15">
        <v>42</v>
      </c>
      <c r="B66" s="15">
        <v>677997.17456209834</v>
      </c>
      <c r="C66" s="15">
        <v>-145352.71456209838</v>
      </c>
    </row>
    <row r="67" spans="1:3">
      <c r="A67" s="15">
        <v>43</v>
      </c>
      <c r="B67" s="15">
        <v>680078.13138284406</v>
      </c>
      <c r="C67" s="15">
        <v>-22648.95138284401</v>
      </c>
    </row>
    <row r="68" spans="1:3">
      <c r="A68" s="15">
        <v>44</v>
      </c>
      <c r="B68" s="15">
        <v>695199.75094692956</v>
      </c>
      <c r="C68" s="15">
        <v>-90021.750946929562</v>
      </c>
    </row>
    <row r="69" spans="1:3">
      <c r="A69" s="15">
        <v>45</v>
      </c>
      <c r="B69" s="15">
        <v>689511.80230355787</v>
      </c>
      <c r="C69" s="15">
        <v>-94044.20230355789</v>
      </c>
    </row>
    <row r="70" spans="1:3">
      <c r="A70" s="15">
        <v>46</v>
      </c>
      <c r="B70" s="15">
        <v>665233.97272819129</v>
      </c>
      <c r="C70" s="15">
        <v>-65630.57272819127</v>
      </c>
    </row>
    <row r="71" spans="1:3">
      <c r="A71" s="15">
        <v>47</v>
      </c>
      <c r="B71" s="15">
        <v>682159.08820358966</v>
      </c>
      <c r="C71" s="15">
        <v>-67358.998203589697</v>
      </c>
    </row>
    <row r="72" spans="1:3">
      <c r="A72" s="15">
        <v>48</v>
      </c>
      <c r="B72" s="15">
        <v>676332.40910550172</v>
      </c>
      <c r="C72" s="15">
        <v>-90966.679105501738</v>
      </c>
    </row>
    <row r="73" spans="1:3">
      <c r="A73" s="15">
        <v>49</v>
      </c>
      <c r="B73" s="15">
        <v>682714.01002245524</v>
      </c>
      <c r="C73" s="15">
        <v>-59902.270022455254</v>
      </c>
    </row>
    <row r="74" spans="1:3">
      <c r="A74" s="15">
        <v>50</v>
      </c>
      <c r="B74" s="15">
        <v>667592.39045836974</v>
      </c>
      <c r="C74" s="15">
        <v>-64294.820458369795</v>
      </c>
    </row>
    <row r="75" spans="1:3">
      <c r="A75" s="15">
        <v>51</v>
      </c>
      <c r="B75" s="15">
        <v>696725.7859488097</v>
      </c>
      <c r="C75" s="15">
        <v>-71052.925948809716</v>
      </c>
    </row>
    <row r="76" spans="1:3">
      <c r="A76" s="15">
        <v>52</v>
      </c>
      <c r="B76" s="15">
        <v>690899.10685072176</v>
      </c>
      <c r="C76" s="15">
        <v>82916.033149278257</v>
      </c>
    </row>
    <row r="77" spans="1:3">
      <c r="A77" s="15">
        <v>53</v>
      </c>
      <c r="B77" s="15">
        <v>685766.08002621564</v>
      </c>
      <c r="C77" s="15">
        <v>-222231.83002621564</v>
      </c>
    </row>
    <row r="78" spans="1:3">
      <c r="A78" s="15">
        <v>54</v>
      </c>
      <c r="B78" s="15">
        <v>661488.25045084895</v>
      </c>
      <c r="C78" s="15">
        <v>85189.499549151049</v>
      </c>
    </row>
    <row r="79" spans="1:3">
      <c r="A79" s="15">
        <v>55</v>
      </c>
      <c r="B79" s="15">
        <v>683130.20138660434</v>
      </c>
      <c r="C79" s="15">
        <v>37722.298613395658</v>
      </c>
    </row>
    <row r="80" spans="1:3">
      <c r="A80" s="15">
        <v>56</v>
      </c>
      <c r="B80" s="15">
        <v>686737.19320923032</v>
      </c>
      <c r="C80" s="15">
        <v>-199272.28320923034</v>
      </c>
    </row>
    <row r="81" spans="1:3">
      <c r="A81" s="15">
        <v>57</v>
      </c>
      <c r="B81" s="15">
        <v>697835.62958654074</v>
      </c>
      <c r="C81" s="15">
        <v>-179786.36958654074</v>
      </c>
    </row>
    <row r="82" spans="1:3">
      <c r="A82" s="15">
        <v>58</v>
      </c>
      <c r="B82" s="15">
        <v>692425.1418526019</v>
      </c>
      <c r="C82" s="15">
        <v>-192126.66185260192</v>
      </c>
    </row>
    <row r="83" spans="1:3">
      <c r="A83" s="15">
        <v>59</v>
      </c>
      <c r="B83" s="15">
        <v>678829.55729039654</v>
      </c>
      <c r="C83" s="15">
        <v>-61538.407290396513</v>
      </c>
    </row>
    <row r="84" spans="1:3">
      <c r="A84" s="15">
        <v>60</v>
      </c>
      <c r="B84" s="15">
        <v>685072.4277526337</v>
      </c>
      <c r="C84" s="15">
        <v>-131315.99775263364</v>
      </c>
    </row>
    <row r="85" spans="1:3">
      <c r="A85" s="15">
        <v>61</v>
      </c>
      <c r="B85" s="15">
        <v>689234.34139412513</v>
      </c>
      <c r="C85" s="15">
        <v>60325.368605874828</v>
      </c>
    </row>
    <row r="86" spans="1:3">
      <c r="A86" s="15">
        <v>62</v>
      </c>
      <c r="B86" s="15">
        <v>687569.57593752863</v>
      </c>
      <c r="C86" s="15">
        <v>-71603.095937528647</v>
      </c>
    </row>
    <row r="87" spans="1:3">
      <c r="A87" s="15">
        <v>63</v>
      </c>
      <c r="B87" s="15">
        <v>682159.08820358966</v>
      </c>
      <c r="C87" s="15">
        <v>-110147.88820358971</v>
      </c>
    </row>
    <row r="88" spans="1:3">
      <c r="A88" s="15">
        <v>64</v>
      </c>
      <c r="B88" s="15">
        <v>690344.18503185618</v>
      </c>
      <c r="C88" s="15">
        <v>71516.004968143767</v>
      </c>
    </row>
    <row r="89" spans="1:3">
      <c r="A89" s="15">
        <v>65</v>
      </c>
      <c r="B89" s="15">
        <v>682991.47093188798</v>
      </c>
      <c r="C89" s="15">
        <v>101511.20906811208</v>
      </c>
    </row>
    <row r="90" spans="1:3">
      <c r="A90" s="15">
        <v>66</v>
      </c>
      <c r="B90" s="15">
        <v>676193.67865078535</v>
      </c>
      <c r="C90" s="15">
        <v>40947.871349214693</v>
      </c>
    </row>
    <row r="91" spans="1:3">
      <c r="A91" s="15">
        <v>67</v>
      </c>
      <c r="B91" s="15">
        <v>683685.12320546992</v>
      </c>
      <c r="C91" s="15">
        <v>1693.9567945300369</v>
      </c>
    </row>
    <row r="92" spans="1:3">
      <c r="A92" s="15">
        <v>68</v>
      </c>
      <c r="B92" s="15">
        <v>681881.62729415693</v>
      </c>
      <c r="C92" s="15">
        <v>58615.02270584309</v>
      </c>
    </row>
    <row r="93" spans="1:3">
      <c r="A93" s="15">
        <v>69</v>
      </c>
      <c r="B93" s="15">
        <v>678274.63547153107</v>
      </c>
      <c r="C93" s="15">
        <v>-16347.49547153106</v>
      </c>
    </row>
    <row r="94" spans="1:3">
      <c r="A94" s="15">
        <v>70</v>
      </c>
      <c r="B94" s="15">
        <v>671338.11273571197</v>
      </c>
      <c r="C94" s="15">
        <v>-192287.61273571197</v>
      </c>
    </row>
    <row r="95" spans="1:3">
      <c r="A95" s="15">
        <v>71</v>
      </c>
      <c r="B95" s="15">
        <v>670505.73000741377</v>
      </c>
      <c r="C95" s="15">
        <v>-65481.860007413779</v>
      </c>
    </row>
    <row r="96" spans="1:3">
      <c r="A96" s="15">
        <v>72</v>
      </c>
      <c r="B96" s="15">
        <v>692841.33321675099</v>
      </c>
      <c r="C96" s="15">
        <v>-18067.243216751027</v>
      </c>
    </row>
    <row r="97" spans="1:3">
      <c r="A97" s="15">
        <v>73</v>
      </c>
      <c r="B97" s="15">
        <v>659407.29363010323</v>
      </c>
      <c r="C97" s="15">
        <v>-43337.883630103199</v>
      </c>
    </row>
    <row r="98" spans="1:3">
      <c r="A98" s="15">
        <v>74</v>
      </c>
      <c r="B98" s="15">
        <v>688679.41957525967</v>
      </c>
      <c r="C98" s="15">
        <v>-57849.479575259727</v>
      </c>
    </row>
    <row r="99" spans="1:3">
      <c r="A99" s="15">
        <v>75</v>
      </c>
      <c r="B99" s="15">
        <v>673141.60864702496</v>
      </c>
      <c r="C99" s="15">
        <v>114946.07135297509</v>
      </c>
    </row>
    <row r="100" spans="1:3">
      <c r="A100" s="15">
        <v>76</v>
      </c>
      <c r="B100" s="15">
        <v>669673.34727911546</v>
      </c>
      <c r="C100" s="15">
        <v>11167.012720884522</v>
      </c>
    </row>
    <row r="101" spans="1:3">
      <c r="A101" s="15">
        <v>77</v>
      </c>
      <c r="B101" s="15">
        <v>683962.58411490265</v>
      </c>
      <c r="C101" s="15">
        <v>-40305.114114902681</v>
      </c>
    </row>
    <row r="102" spans="1:3">
      <c r="A102" s="15">
        <v>78</v>
      </c>
      <c r="B102" s="15">
        <v>688956.8804846924</v>
      </c>
      <c r="C102" s="15">
        <v>2155.7195153075736</v>
      </c>
    </row>
    <row r="103" spans="1:3">
      <c r="A103" s="15">
        <v>79</v>
      </c>
      <c r="B103" s="15">
        <v>673973.99137532327</v>
      </c>
      <c r="C103" s="15">
        <v>102948.17862467677</v>
      </c>
    </row>
    <row r="104" spans="1:3">
      <c r="A104" s="15">
        <v>80</v>
      </c>
      <c r="B104" s="15">
        <v>662875.55499801284</v>
      </c>
      <c r="C104" s="15">
        <v>-26314.214998012874</v>
      </c>
    </row>
    <row r="105" spans="1:3">
      <c r="A105" s="15">
        <v>81</v>
      </c>
      <c r="B105" s="15">
        <v>673002.87819230859</v>
      </c>
      <c r="C105" s="15">
        <v>-51633.298192308634</v>
      </c>
    </row>
    <row r="106" spans="1:3">
      <c r="A106" s="15">
        <v>82</v>
      </c>
      <c r="B106" s="15">
        <v>684656.2363884846</v>
      </c>
      <c r="C106" s="15">
        <v>-2448.2263884845888</v>
      </c>
    </row>
    <row r="107" spans="1:3">
      <c r="A107" s="15">
        <v>83</v>
      </c>
      <c r="B107" s="15">
        <v>686182.27139036474</v>
      </c>
      <c r="C107" s="15">
        <v>41059.588609635248</v>
      </c>
    </row>
    <row r="108" spans="1:3">
      <c r="A108" s="15">
        <v>84</v>
      </c>
      <c r="B108" s="15">
        <v>693673.71594504931</v>
      </c>
      <c r="C108" s="15">
        <v>-124572.93594504928</v>
      </c>
    </row>
    <row r="109" spans="1:3">
      <c r="A109" s="15">
        <v>85</v>
      </c>
      <c r="B109" s="15">
        <v>682852.74047717161</v>
      </c>
      <c r="C109" s="15">
        <v>-108416.45047717157</v>
      </c>
    </row>
    <row r="110" spans="1:3">
      <c r="A110" s="15">
        <v>86</v>
      </c>
      <c r="B110" s="15">
        <v>669257.15591496637</v>
      </c>
      <c r="C110" s="15">
        <v>-57490.435914966394</v>
      </c>
    </row>
    <row r="111" spans="1:3">
      <c r="A111" s="15">
        <v>87</v>
      </c>
      <c r="B111" s="15">
        <v>689650.53275827423</v>
      </c>
      <c r="C111" s="15">
        <v>-75054.212758274283</v>
      </c>
    </row>
    <row r="112" spans="1:3">
      <c r="A112" s="15">
        <v>88</v>
      </c>
      <c r="B112" s="15">
        <v>677719.71365266549</v>
      </c>
      <c r="C112" s="15">
        <v>-227007.79365266551</v>
      </c>
    </row>
    <row r="113" spans="1:3">
      <c r="A113" s="15">
        <v>89</v>
      </c>
      <c r="B113" s="15">
        <v>693812.44639976567</v>
      </c>
      <c r="C113" s="15">
        <v>17401.013600234292</v>
      </c>
    </row>
    <row r="114" spans="1:3">
      <c r="A114" s="15">
        <v>90</v>
      </c>
      <c r="B114" s="15">
        <v>696032.13367522776</v>
      </c>
      <c r="C114" s="15">
        <v>-68860.233675227733</v>
      </c>
    </row>
    <row r="115" spans="1:3">
      <c r="A115" s="15">
        <v>91</v>
      </c>
      <c r="B115" s="15">
        <v>692286.41139788553</v>
      </c>
      <c r="C115" s="15">
        <v>47566.168602114427</v>
      </c>
    </row>
    <row r="116" spans="1:3">
      <c r="A116" s="15">
        <v>92</v>
      </c>
      <c r="B116" s="15">
        <v>691870.22003373632</v>
      </c>
      <c r="C116" s="15">
        <v>-105563.00003373635</v>
      </c>
    </row>
    <row r="117" spans="1:3">
      <c r="A117" s="15">
        <v>93</v>
      </c>
      <c r="B117" s="15">
        <v>670921.92137156287</v>
      </c>
      <c r="C117" s="15">
        <v>-84984.441371562891</v>
      </c>
    </row>
    <row r="118" spans="1:3">
      <c r="A118" s="15">
        <v>94</v>
      </c>
      <c r="B118" s="15">
        <v>697835.62958654074</v>
      </c>
      <c r="C118" s="15">
        <v>55637.920413459302</v>
      </c>
    </row>
    <row r="119" spans="1:3">
      <c r="A119" s="15">
        <v>95</v>
      </c>
      <c r="B119" s="15">
        <v>687708.30639224499</v>
      </c>
      <c r="C119" s="15">
        <v>150542.01360775495</v>
      </c>
    </row>
    <row r="120" spans="1:3">
      <c r="A120" s="15">
        <v>96</v>
      </c>
      <c r="B120" s="15">
        <v>687569.57593752863</v>
      </c>
      <c r="C120" s="15">
        <v>-79671.455937528634</v>
      </c>
    </row>
    <row r="121" spans="1:3">
      <c r="A121" s="15">
        <v>97</v>
      </c>
      <c r="B121" s="15">
        <v>675222.56546777068</v>
      </c>
      <c r="C121" s="15">
        <v>15891.054532229318</v>
      </c>
    </row>
    <row r="122" spans="1:3">
      <c r="A122" s="15">
        <v>98</v>
      </c>
      <c r="B122" s="15">
        <v>674112.72183003963</v>
      </c>
      <c r="C122" s="15">
        <v>61396.678169960389</v>
      </c>
    </row>
    <row r="123" spans="1:3">
      <c r="A123" s="15">
        <v>99</v>
      </c>
      <c r="B123" s="15">
        <v>687430.84548281215</v>
      </c>
      <c r="C123" s="15">
        <v>-81655.515482812189</v>
      </c>
    </row>
    <row r="124" spans="1:3">
      <c r="A124" s="15">
        <v>100</v>
      </c>
      <c r="B124" s="15">
        <v>671615.57364514482</v>
      </c>
      <c r="C124" s="15">
        <v>3562.1063548552338</v>
      </c>
    </row>
    <row r="125" spans="1:3">
      <c r="A125" s="15">
        <v>101</v>
      </c>
      <c r="B125" s="15">
        <v>677026.06137908367</v>
      </c>
      <c r="C125" s="15">
        <v>-41844.711379083688</v>
      </c>
    </row>
    <row r="126" spans="1:3">
      <c r="A126" s="15">
        <v>102</v>
      </c>
      <c r="B126" s="15">
        <v>673835.2609206069</v>
      </c>
      <c r="C126" s="15">
        <v>-87208.320920606959</v>
      </c>
    </row>
    <row r="127" spans="1:3">
      <c r="A127" s="15">
        <v>103</v>
      </c>
      <c r="B127" s="15">
        <v>672170.49546401028</v>
      </c>
      <c r="C127" s="15">
        <v>67932.144535989733</v>
      </c>
    </row>
    <row r="128" spans="1:3">
      <c r="A128" s="15">
        <v>104</v>
      </c>
      <c r="B128" s="15">
        <v>686737.19320923032</v>
      </c>
      <c r="C128" s="15">
        <v>-61223.15320923028</v>
      </c>
    </row>
    <row r="129" spans="1:3">
      <c r="A129" s="15">
        <v>105</v>
      </c>
      <c r="B129" s="15">
        <v>683546.39275075356</v>
      </c>
      <c r="C129" s="15">
        <v>43680.807249246398</v>
      </c>
    </row>
    <row r="130" spans="1:3">
      <c r="A130" s="15">
        <v>106</v>
      </c>
      <c r="B130" s="15">
        <v>690066.72412242345</v>
      </c>
      <c r="C130" s="15">
        <v>93731.165877576568</v>
      </c>
    </row>
    <row r="131" spans="1:3">
      <c r="A131" s="15">
        <v>107</v>
      </c>
      <c r="B131" s="15">
        <v>679384.47910926212</v>
      </c>
      <c r="C131" s="15">
        <v>115769.36089073785</v>
      </c>
    </row>
    <row r="132" spans="1:3">
      <c r="A132" s="15">
        <v>108</v>
      </c>
      <c r="B132" s="15">
        <v>690760.37639600527</v>
      </c>
      <c r="C132" s="15">
        <v>-25165.436396005331</v>
      </c>
    </row>
    <row r="133" spans="1:3">
      <c r="A133" s="15">
        <v>109</v>
      </c>
      <c r="B133" s="15">
        <v>676054.94819606899</v>
      </c>
      <c r="C133" s="15">
        <v>33423.441803931026</v>
      </c>
    </row>
    <row r="134" spans="1:3">
      <c r="A134" s="15">
        <v>110</v>
      </c>
      <c r="B134" s="15">
        <v>657326.33680935763</v>
      </c>
      <c r="C134" s="15">
        <v>6836.1531906423625</v>
      </c>
    </row>
    <row r="135" spans="1:3">
      <c r="A135" s="15">
        <v>111</v>
      </c>
      <c r="B135" s="15">
        <v>685488.61911678291</v>
      </c>
      <c r="C135" s="15">
        <v>-51994.409116782947</v>
      </c>
    </row>
    <row r="136" spans="1:3">
      <c r="A136" s="15">
        <v>112</v>
      </c>
      <c r="B136" s="15">
        <v>689927.99366770708</v>
      </c>
      <c r="C136" s="15">
        <v>23683.166332292953</v>
      </c>
    </row>
    <row r="137" spans="1:3">
      <c r="A137" s="15">
        <v>113</v>
      </c>
      <c r="B137" s="15">
        <v>673835.2609206069</v>
      </c>
      <c r="C137" s="15">
        <v>104562.70907939307</v>
      </c>
    </row>
    <row r="138" spans="1:3">
      <c r="A138" s="15">
        <v>114</v>
      </c>
      <c r="B138" s="15">
        <v>678135.90501681471</v>
      </c>
      <c r="C138" s="15">
        <v>195244.11498318531</v>
      </c>
    </row>
    <row r="139" spans="1:3">
      <c r="A139" s="15">
        <v>115</v>
      </c>
      <c r="B139" s="15">
        <v>675777.48728663626</v>
      </c>
      <c r="C139" s="15">
        <v>21510.412713363767</v>
      </c>
    </row>
    <row r="140" spans="1:3">
      <c r="A140" s="15">
        <v>116</v>
      </c>
      <c r="B140" s="15">
        <v>678552.09638096381</v>
      </c>
      <c r="C140" s="15">
        <v>39522.693619036232</v>
      </c>
    </row>
    <row r="141" spans="1:3">
      <c r="A141" s="15">
        <v>117</v>
      </c>
      <c r="B141" s="15">
        <v>671476.84319042845</v>
      </c>
      <c r="C141" s="15">
        <v>43465.5868095716</v>
      </c>
    </row>
    <row r="142" spans="1:3">
      <c r="A142" s="15">
        <v>118</v>
      </c>
      <c r="B142" s="15">
        <v>676887.3309243673</v>
      </c>
      <c r="C142" s="15">
        <v>143631.70907563274</v>
      </c>
    </row>
    <row r="143" spans="1:3">
      <c r="A143" s="15">
        <v>119</v>
      </c>
      <c r="B143" s="15">
        <v>679384.47910926212</v>
      </c>
      <c r="C143" s="15">
        <v>4832.8408907378325</v>
      </c>
    </row>
    <row r="144" spans="1:3">
      <c r="A144" s="15">
        <v>120</v>
      </c>
      <c r="B144" s="15">
        <v>665650.16409234039</v>
      </c>
      <c r="C144" s="15">
        <v>69830.025907659554</v>
      </c>
    </row>
    <row r="145" spans="1:3">
      <c r="A145" s="15">
        <v>121</v>
      </c>
      <c r="B145" s="15">
        <v>685627.34957149928</v>
      </c>
      <c r="C145" s="15">
        <v>-176142.53957149928</v>
      </c>
    </row>
    <row r="146" spans="1:3">
      <c r="A146" s="15">
        <v>122</v>
      </c>
      <c r="B146" s="15">
        <v>697835.62958654074</v>
      </c>
      <c r="C146" s="15">
        <v>-43518.539586540777</v>
      </c>
    </row>
    <row r="147" spans="1:3">
      <c r="A147" s="15">
        <v>123</v>
      </c>
      <c r="B147" s="15">
        <v>688263.22821111046</v>
      </c>
      <c r="C147" s="15">
        <v>-130775.96821111045</v>
      </c>
    </row>
    <row r="148" spans="1:3">
      <c r="A148" s="15">
        <v>124</v>
      </c>
      <c r="B148" s="15">
        <v>667869.85136780248</v>
      </c>
      <c r="C148" s="15">
        <v>-226594.43136780249</v>
      </c>
    </row>
    <row r="149" spans="1:3">
      <c r="A149" s="15">
        <v>125</v>
      </c>
      <c r="B149" s="15">
        <v>680771.78365642589</v>
      </c>
      <c r="C149" s="15">
        <v>233772.38634357415</v>
      </c>
    </row>
    <row r="150" spans="1:3">
      <c r="A150" s="15">
        <v>126</v>
      </c>
      <c r="B150" s="15">
        <v>673419.06955645769</v>
      </c>
      <c r="C150" s="15">
        <v>169020.60044354235</v>
      </c>
    </row>
    <row r="151" spans="1:3">
      <c r="A151" s="15">
        <v>127</v>
      </c>
      <c r="B151" s="15">
        <v>669534.6168243991</v>
      </c>
      <c r="C151" s="15">
        <v>172623.30317560094</v>
      </c>
    </row>
    <row r="152" spans="1:3">
      <c r="A152" s="15">
        <v>128</v>
      </c>
      <c r="B152" s="15">
        <v>684517.50593376823</v>
      </c>
      <c r="C152" s="15">
        <v>12637.794066231814</v>
      </c>
    </row>
    <row r="153" spans="1:3">
      <c r="A153" s="15">
        <v>129</v>
      </c>
      <c r="B153" s="15">
        <v>678135.90501681471</v>
      </c>
      <c r="C153" s="15">
        <v>170882.39498318534</v>
      </c>
    </row>
    <row r="154" spans="1:3">
      <c r="A154" s="15">
        <v>130</v>
      </c>
      <c r="B154" s="15">
        <v>669118.42546024988</v>
      </c>
      <c r="C154" s="15">
        <v>132711.92453975009</v>
      </c>
    </row>
    <row r="155" spans="1:3">
      <c r="A155" s="15">
        <v>131</v>
      </c>
      <c r="B155" s="15">
        <v>677858.44410738198</v>
      </c>
      <c r="C155" s="15">
        <v>47376.835892618052</v>
      </c>
    </row>
    <row r="156" spans="1:3">
      <c r="A156" s="15">
        <v>132</v>
      </c>
      <c r="B156" s="15">
        <v>685488.61911678291</v>
      </c>
      <c r="C156" s="15">
        <v>125964.10088321706</v>
      </c>
    </row>
    <row r="157" spans="1:3">
      <c r="A157" s="15">
        <v>133</v>
      </c>
      <c r="B157" s="15">
        <v>686875.92366394668</v>
      </c>
      <c r="C157" s="15">
        <v>-159575.79366394668</v>
      </c>
    </row>
    <row r="158" spans="1:3">
      <c r="A158" s="15">
        <v>134</v>
      </c>
      <c r="B158" s="15">
        <v>670644.46046213014</v>
      </c>
      <c r="C158" s="15">
        <v>-269812.81046213012</v>
      </c>
    </row>
    <row r="159" spans="1:3">
      <c r="A159" s="15">
        <v>135</v>
      </c>
      <c r="B159" s="15">
        <v>685904.81048093201</v>
      </c>
      <c r="C159" s="15">
        <v>-92657.560480932007</v>
      </c>
    </row>
    <row r="160" spans="1:3">
      <c r="A160" s="15">
        <v>136</v>
      </c>
      <c r="B160" s="15">
        <v>672586.68682815949</v>
      </c>
      <c r="C160" s="15">
        <v>-143510.73682815954</v>
      </c>
    </row>
    <row r="161" spans="1:3">
      <c r="A161" s="15">
        <v>137</v>
      </c>
      <c r="B161" s="15">
        <v>691176.56776015449</v>
      </c>
      <c r="C161" s="15">
        <v>-57538.537760154461</v>
      </c>
    </row>
    <row r="162" spans="1:3">
      <c r="A162" s="15">
        <v>138</v>
      </c>
      <c r="B162" s="15">
        <v>686875.92366394668</v>
      </c>
      <c r="C162" s="15">
        <v>56472.916336053284</v>
      </c>
    </row>
    <row r="163" spans="1:3">
      <c r="A163" s="15">
        <v>139</v>
      </c>
      <c r="B163" s="15">
        <v>676748.60046965093</v>
      </c>
      <c r="C163" s="15">
        <v>82079.03953034908</v>
      </c>
    </row>
    <row r="164" spans="1:3">
      <c r="A164" s="15">
        <v>140</v>
      </c>
      <c r="B164" s="15">
        <v>671893.03455457755</v>
      </c>
      <c r="C164" s="15">
        <v>-25333.324554577586</v>
      </c>
    </row>
    <row r="165" spans="1:3">
      <c r="A165" s="15">
        <v>141</v>
      </c>
      <c r="B165" s="15">
        <v>665372.70318290766</v>
      </c>
      <c r="C165" s="15">
        <v>50517.826817092369</v>
      </c>
    </row>
    <row r="166" spans="1:3">
      <c r="A166" s="15">
        <v>142</v>
      </c>
      <c r="B166" s="15">
        <v>692563.87230731826</v>
      </c>
      <c r="C166" s="15">
        <v>22533.697692681686</v>
      </c>
    </row>
    <row r="167" spans="1:3">
      <c r="A167" s="15">
        <v>143</v>
      </c>
      <c r="B167" s="15">
        <v>688263.22821111046</v>
      </c>
      <c r="C167" s="15">
        <v>-5623.9482111104298</v>
      </c>
    </row>
    <row r="168" spans="1:3">
      <c r="A168" s="15">
        <v>144</v>
      </c>
      <c r="B168" s="15">
        <v>672586.68682815949</v>
      </c>
      <c r="C168" s="15">
        <v>22511.823171840515</v>
      </c>
    </row>
    <row r="169" spans="1:3">
      <c r="A169" s="15">
        <v>145</v>
      </c>
      <c r="B169" s="15">
        <v>674390.18273947237</v>
      </c>
      <c r="C169" s="15">
        <v>-96657.612739472417</v>
      </c>
    </row>
    <row r="170" spans="1:3">
      <c r="A170" s="15">
        <v>146</v>
      </c>
      <c r="B170" s="15">
        <v>689511.80230355787</v>
      </c>
      <c r="C170" s="15">
        <v>-152453.47230355791</v>
      </c>
    </row>
    <row r="171" spans="1:3">
      <c r="A171" s="15">
        <v>147</v>
      </c>
      <c r="B171" s="15">
        <v>676193.67865078535</v>
      </c>
      <c r="C171" s="15">
        <v>-74624.808650785359</v>
      </c>
    </row>
    <row r="172" spans="1:3">
      <c r="A172" s="15">
        <v>148</v>
      </c>
      <c r="B172" s="15">
        <v>682852.74047717161</v>
      </c>
      <c r="C172" s="15">
        <v>-111887.90047717164</v>
      </c>
    </row>
    <row r="173" spans="1:3">
      <c r="A173" s="15">
        <v>149</v>
      </c>
      <c r="B173" s="15">
        <v>691315.29821487085</v>
      </c>
      <c r="C173" s="15">
        <v>-77290.388214870822</v>
      </c>
    </row>
    <row r="174" spans="1:3">
      <c r="A174" s="15">
        <v>150</v>
      </c>
      <c r="B174" s="15">
        <v>691731.48957901995</v>
      </c>
      <c r="C174" s="15">
        <v>21136.860420980025</v>
      </c>
    </row>
    <row r="175" spans="1:3">
      <c r="A175" s="15">
        <v>151</v>
      </c>
      <c r="B175" s="15">
        <v>683962.58411490265</v>
      </c>
      <c r="C175" s="15">
        <v>12781.56588509737</v>
      </c>
    </row>
    <row r="176" spans="1:3">
      <c r="A176" s="15">
        <v>152</v>
      </c>
      <c r="B176" s="15">
        <v>670505.73000741377</v>
      </c>
      <c r="C176" s="15">
        <v>55342.259992586216</v>
      </c>
    </row>
    <row r="177" spans="1:3">
      <c r="A177" s="15">
        <v>153</v>
      </c>
      <c r="B177" s="15">
        <v>665372.70318290766</v>
      </c>
      <c r="C177" s="15">
        <v>119655.54681709234</v>
      </c>
    </row>
    <row r="178" spans="1:3">
      <c r="A178" s="15">
        <v>154</v>
      </c>
      <c r="B178" s="15">
        <v>674390.18273947237</v>
      </c>
      <c r="C178" s="15">
        <v>24102.487260527676</v>
      </c>
    </row>
    <row r="179" spans="1:3">
      <c r="A179" s="15">
        <v>155</v>
      </c>
      <c r="B179" s="15">
        <v>672864.14773759223</v>
      </c>
      <c r="C179" s="15">
        <v>12966.092262407765</v>
      </c>
    </row>
    <row r="180" spans="1:3">
      <c r="A180" s="15">
        <v>156</v>
      </c>
      <c r="B180" s="15">
        <v>671893.03455457755</v>
      </c>
      <c r="C180" s="15">
        <v>30425.905445422395</v>
      </c>
    </row>
    <row r="181" spans="1:3">
      <c r="A181" s="15">
        <v>157</v>
      </c>
      <c r="B181" s="15">
        <v>689927.99366770708</v>
      </c>
      <c r="C181" s="15">
        <v>10150.326332292869</v>
      </c>
    </row>
    <row r="182" spans="1:3">
      <c r="A182" s="15">
        <v>158</v>
      </c>
      <c r="B182" s="15">
        <v>682020.3577488733</v>
      </c>
      <c r="C182" s="15">
        <v>-80018.03774887335</v>
      </c>
    </row>
    <row r="183" spans="1:3">
      <c r="A183" s="15">
        <v>159</v>
      </c>
      <c r="B183" s="15">
        <v>675916.21774135262</v>
      </c>
      <c r="C183" s="15">
        <v>48299.852258647326</v>
      </c>
    </row>
    <row r="184" spans="1:3">
      <c r="A184" s="15">
        <v>160</v>
      </c>
      <c r="B184" s="15">
        <v>675777.48728663626</v>
      </c>
      <c r="C184" s="15">
        <v>-54804.457286636229</v>
      </c>
    </row>
    <row r="185" spans="1:3">
      <c r="A185" s="15">
        <v>161</v>
      </c>
      <c r="B185" s="15">
        <v>673557.80001117417</v>
      </c>
      <c r="C185" s="15">
        <v>-23077.740011174115</v>
      </c>
    </row>
    <row r="186" spans="1:3">
      <c r="A186" s="15">
        <v>162</v>
      </c>
      <c r="B186" s="15">
        <v>693118.79412618384</v>
      </c>
      <c r="C186" s="15">
        <v>85180.085873816162</v>
      </c>
    </row>
    <row r="187" spans="1:3">
      <c r="A187" s="15">
        <v>163</v>
      </c>
      <c r="B187" s="15">
        <v>671060.65182627924</v>
      </c>
      <c r="C187" s="15">
        <v>6036.0581737207249</v>
      </c>
    </row>
    <row r="188" spans="1:3">
      <c r="A188" s="15">
        <v>164</v>
      </c>
      <c r="B188" s="15">
        <v>687430.84548281215</v>
      </c>
      <c r="C188" s="15">
        <v>4577.7945171878673</v>
      </c>
    </row>
    <row r="189" spans="1:3">
      <c r="A189" s="15">
        <v>165</v>
      </c>
      <c r="B189" s="15">
        <v>676054.94819606899</v>
      </c>
      <c r="C189" s="15">
        <v>149742.96180393104</v>
      </c>
    </row>
    <row r="190" spans="1:3">
      <c r="A190" s="15">
        <v>166</v>
      </c>
      <c r="B190" s="15">
        <v>680771.78365642589</v>
      </c>
      <c r="C190" s="15">
        <v>25513.736343574128</v>
      </c>
    </row>
    <row r="191" spans="1:3">
      <c r="A191" s="15">
        <v>167</v>
      </c>
      <c r="B191" s="15">
        <v>685349.88866206643</v>
      </c>
      <c r="C191" s="15">
        <v>-19815.188662066474</v>
      </c>
    </row>
    <row r="192" spans="1:3">
      <c r="A192" s="15">
        <v>168</v>
      </c>
      <c r="B192" s="15">
        <v>680355.59229227679</v>
      </c>
      <c r="C192" s="15">
        <v>140373.69770772324</v>
      </c>
    </row>
    <row r="193" spans="1:3">
      <c r="A193" s="15">
        <v>169</v>
      </c>
      <c r="B193" s="15">
        <v>678968.28774511302</v>
      </c>
      <c r="C193" s="15">
        <v>60863.442254886962</v>
      </c>
    </row>
    <row r="194" spans="1:3">
      <c r="A194" s="15">
        <v>170</v>
      </c>
      <c r="B194" s="15">
        <v>684101.31456961902</v>
      </c>
      <c r="C194" s="15">
        <v>-90464.174569619005</v>
      </c>
    </row>
    <row r="195" spans="1:3">
      <c r="A195" s="15">
        <v>171</v>
      </c>
      <c r="B195" s="15">
        <v>676054.94819606899</v>
      </c>
      <c r="C195" s="15">
        <v>93647.811803931021</v>
      </c>
    </row>
    <row r="196" spans="1:3">
      <c r="A196" s="15">
        <v>172</v>
      </c>
      <c r="B196" s="15">
        <v>681465.43593000784</v>
      </c>
      <c r="C196" s="15">
        <v>-1733.8659300078871</v>
      </c>
    </row>
    <row r="197" spans="1:3">
      <c r="A197" s="15">
        <v>173</v>
      </c>
      <c r="B197" s="15">
        <v>676054.94819606899</v>
      </c>
      <c r="C197" s="15">
        <v>104289.23180393106</v>
      </c>
    </row>
    <row r="198" spans="1:3">
      <c r="A198" s="15">
        <v>174</v>
      </c>
      <c r="B198" s="15">
        <v>682714.01002245524</v>
      </c>
      <c r="C198" s="15">
        <v>38650.099977544742</v>
      </c>
    </row>
    <row r="199" spans="1:3">
      <c r="A199" s="15">
        <v>175</v>
      </c>
      <c r="B199" s="15">
        <v>680494.32274699316</v>
      </c>
      <c r="C199" s="15">
        <v>77643.967253006878</v>
      </c>
    </row>
    <row r="200" spans="1:3">
      <c r="A200" s="15">
        <v>176</v>
      </c>
      <c r="B200" s="15">
        <v>675777.48728663626</v>
      </c>
      <c r="C200" s="15">
        <v>128486.51271336374</v>
      </c>
    </row>
    <row r="201" spans="1:3">
      <c r="A201" s="15">
        <v>177</v>
      </c>
      <c r="B201" s="15">
        <v>691454.02866958722</v>
      </c>
      <c r="C201" s="15">
        <v>196083.72133041278</v>
      </c>
    </row>
    <row r="202" spans="1:3">
      <c r="A202" s="15">
        <v>178</v>
      </c>
      <c r="B202" s="15">
        <v>673280.33910174132</v>
      </c>
      <c r="C202" s="15">
        <v>110301.66089825868</v>
      </c>
    </row>
    <row r="203" spans="1:3">
      <c r="A203" s="15">
        <v>179</v>
      </c>
      <c r="B203" s="15">
        <v>692147.68094316917</v>
      </c>
      <c r="C203" s="15">
        <v>89807.839056830853</v>
      </c>
    </row>
    <row r="204" spans="1:3">
      <c r="A204" s="15">
        <v>180</v>
      </c>
      <c r="B204" s="15">
        <v>696032.13367522776</v>
      </c>
      <c r="C204" s="15">
        <v>201998.90632477228</v>
      </c>
    </row>
    <row r="205" spans="1:3">
      <c r="A205" s="15">
        <v>181</v>
      </c>
      <c r="B205" s="15">
        <v>697696.89913182438</v>
      </c>
      <c r="C205" s="15">
        <v>157644.38086817565</v>
      </c>
    </row>
    <row r="206" spans="1:3">
      <c r="A206" s="15">
        <v>182</v>
      </c>
      <c r="B206" s="15">
        <v>678274.63547153107</v>
      </c>
      <c r="C206" s="15">
        <v>73119.244528468931</v>
      </c>
    </row>
    <row r="207" spans="1:3">
      <c r="A207" s="15">
        <v>183</v>
      </c>
      <c r="B207" s="15">
        <v>682159.08820358966</v>
      </c>
      <c r="C207" s="15">
        <v>78917.991796410293</v>
      </c>
    </row>
    <row r="208" spans="1:3">
      <c r="A208" s="15">
        <v>184</v>
      </c>
      <c r="B208" s="15">
        <v>688124.49775639409</v>
      </c>
      <c r="C208" s="15">
        <v>131536.09224360588</v>
      </c>
    </row>
    <row r="209" spans="1:3">
      <c r="A209" s="15">
        <v>185</v>
      </c>
      <c r="B209" s="15">
        <v>687847.03684696136</v>
      </c>
      <c r="C209" s="15">
        <v>-5991.4768469613045</v>
      </c>
    </row>
    <row r="210" spans="1:3">
      <c r="A210" s="15">
        <v>186</v>
      </c>
      <c r="B210" s="15">
        <v>675500.02637720341</v>
      </c>
      <c r="C210" s="15">
        <v>2811.1436227966333</v>
      </c>
    </row>
    <row r="211" spans="1:3">
      <c r="A211" s="15">
        <v>187</v>
      </c>
      <c r="B211" s="15">
        <v>688540.68912054319</v>
      </c>
      <c r="C211" s="15">
        <v>77366.260879456764</v>
      </c>
    </row>
    <row r="212" spans="1:3">
      <c r="A212" s="15">
        <v>188</v>
      </c>
      <c r="B212" s="15">
        <v>684794.96684320096</v>
      </c>
      <c r="C212" s="15">
        <v>27751.413156799041</v>
      </c>
    </row>
    <row r="213" spans="1:3">
      <c r="A213" s="15">
        <v>189</v>
      </c>
      <c r="B213" s="15">
        <v>697835.62958654074</v>
      </c>
      <c r="C213" s="15">
        <v>-71841.799586540787</v>
      </c>
    </row>
    <row r="214" spans="1:3">
      <c r="A214" s="15">
        <v>190</v>
      </c>
      <c r="B214" s="15">
        <v>689789.26321299071</v>
      </c>
      <c r="C214" s="15">
        <v>-138826.33321299066</v>
      </c>
    </row>
    <row r="215" spans="1:3">
      <c r="A215" s="15">
        <v>191</v>
      </c>
      <c r="B215" s="15">
        <v>661904.44181499816</v>
      </c>
      <c r="C215" s="15">
        <v>-218628.85181499814</v>
      </c>
    </row>
    <row r="216" spans="1:3">
      <c r="A216" s="15">
        <v>192</v>
      </c>
      <c r="B216" s="15">
        <v>672031.76500929391</v>
      </c>
      <c r="C216" s="15">
        <v>-118019.69500929397</v>
      </c>
    </row>
    <row r="217" spans="1:3">
      <c r="A217" s="15">
        <v>193</v>
      </c>
      <c r="B217" s="15">
        <v>675083.83501305431</v>
      </c>
      <c r="C217" s="15">
        <v>-31654.985013054335</v>
      </c>
    </row>
    <row r="218" spans="1:3">
      <c r="A218" s="15">
        <v>194</v>
      </c>
      <c r="B218" s="15">
        <v>677026.06137908367</v>
      </c>
      <c r="C218" s="15">
        <v>-65101.791379083646</v>
      </c>
    </row>
    <row r="219" spans="1:3">
      <c r="A219" s="15">
        <v>195</v>
      </c>
      <c r="B219" s="15">
        <v>685488.61911678291</v>
      </c>
      <c r="C219" s="15">
        <v>-126066.59911678289</v>
      </c>
    </row>
    <row r="220" spans="1:3">
      <c r="A220" s="15">
        <v>196</v>
      </c>
      <c r="B220" s="15">
        <v>666066.3554564896</v>
      </c>
      <c r="C220" s="15">
        <v>-216601.29545648961</v>
      </c>
    </row>
    <row r="221" spans="1:3">
      <c r="A221" s="15">
        <v>197</v>
      </c>
      <c r="B221" s="15">
        <v>684240.04502433538</v>
      </c>
      <c r="C221" s="15">
        <v>7207.3849756646669</v>
      </c>
    </row>
    <row r="222" spans="1:3">
      <c r="A222" s="15">
        <v>198</v>
      </c>
      <c r="B222" s="15">
        <v>694089.90730919852</v>
      </c>
      <c r="C222" s="15">
        <v>-120023.29730919853</v>
      </c>
    </row>
    <row r="223" spans="1:3">
      <c r="A223" s="15">
        <v>199</v>
      </c>
      <c r="B223" s="15">
        <v>658436.18044708867</v>
      </c>
      <c r="C223" s="15">
        <v>-79486.340447088704</v>
      </c>
    </row>
    <row r="224" spans="1:3">
      <c r="A224" s="15">
        <v>200</v>
      </c>
      <c r="B224" s="15">
        <v>671615.57364514482</v>
      </c>
      <c r="C224" s="15">
        <v>64171.066354855197</v>
      </c>
    </row>
    <row r="225" spans="1:3">
      <c r="A225" s="15">
        <v>201</v>
      </c>
      <c r="B225" s="15">
        <v>680771.78365642589</v>
      </c>
      <c r="C225" s="15">
        <v>-81866.883656425867</v>
      </c>
    </row>
    <row r="226" spans="1:3">
      <c r="A226" s="15">
        <v>202</v>
      </c>
      <c r="B226" s="15">
        <v>677026.06137908367</v>
      </c>
      <c r="C226" s="15">
        <v>110689.44862091634</v>
      </c>
    </row>
    <row r="227" spans="1:3">
      <c r="A227" s="15">
        <v>203</v>
      </c>
      <c r="B227" s="15">
        <v>693396.25503561657</v>
      </c>
      <c r="C227" s="15">
        <v>-86311.335035616532</v>
      </c>
    </row>
    <row r="228" spans="1:3">
      <c r="A228" s="15">
        <v>204</v>
      </c>
      <c r="B228" s="15">
        <v>680216.86183756043</v>
      </c>
      <c r="C228" s="15">
        <v>-29421.371837560437</v>
      </c>
    </row>
    <row r="229" spans="1:3">
      <c r="A229" s="15">
        <v>205</v>
      </c>
      <c r="B229" s="15">
        <v>688124.49775639409</v>
      </c>
      <c r="C229" s="15">
        <v>136936.02224360593</v>
      </c>
    </row>
    <row r="230" spans="1:3">
      <c r="A230" s="15">
        <v>206</v>
      </c>
      <c r="B230" s="15">
        <v>682991.47093188798</v>
      </c>
      <c r="C230" s="15">
        <v>112472.999068112</v>
      </c>
    </row>
    <row r="231" spans="1:3">
      <c r="A231" s="15">
        <v>207</v>
      </c>
      <c r="B231" s="15">
        <v>677164.79183380003</v>
      </c>
      <c r="C231" s="15">
        <v>-5296.2018338000635</v>
      </c>
    </row>
    <row r="232" spans="1:3">
      <c r="A232" s="15">
        <v>208</v>
      </c>
      <c r="B232" s="15">
        <v>681742.89683944057</v>
      </c>
      <c r="C232" s="15">
        <v>-5825.2668394405628</v>
      </c>
    </row>
    <row r="233" spans="1:3">
      <c r="A233" s="15">
        <v>209</v>
      </c>
      <c r="B233" s="15">
        <v>684378.77547905187</v>
      </c>
      <c r="C233" s="15">
        <v>126067.75452094816</v>
      </c>
    </row>
    <row r="234" spans="1:3">
      <c r="A234" s="15">
        <v>210</v>
      </c>
      <c r="B234" s="15">
        <v>674112.72183003963</v>
      </c>
      <c r="C234" s="15">
        <v>17175.46816996031</v>
      </c>
    </row>
    <row r="235" spans="1:3">
      <c r="A235" s="15">
        <v>211</v>
      </c>
      <c r="B235" s="15">
        <v>693812.44639976567</v>
      </c>
      <c r="C235" s="15">
        <v>253021.09360023437</v>
      </c>
    </row>
    <row r="236" spans="1:3">
      <c r="A236" s="15">
        <v>212</v>
      </c>
      <c r="B236" s="15">
        <v>684933.69729791733</v>
      </c>
      <c r="C236" s="15">
        <v>77029.532702082652</v>
      </c>
    </row>
    <row r="237" spans="1:3">
      <c r="A237" s="15">
        <v>213</v>
      </c>
      <c r="B237" s="15">
        <v>685211.15820735006</v>
      </c>
      <c r="C237" s="15">
        <v>126941.44179264992</v>
      </c>
    </row>
    <row r="238" spans="1:3">
      <c r="A238" s="15">
        <v>214</v>
      </c>
      <c r="B238" s="15">
        <v>677026.06137908367</v>
      </c>
      <c r="C238" s="15">
        <v>127949.43862091633</v>
      </c>
    </row>
    <row r="239" spans="1:3">
      <c r="A239" s="15">
        <v>215</v>
      </c>
      <c r="B239" s="15">
        <v>697835.62958654074</v>
      </c>
      <c r="C239" s="15">
        <v>54486.090413459227</v>
      </c>
    </row>
    <row r="240" spans="1:3">
      <c r="A240" s="15">
        <v>216</v>
      </c>
      <c r="B240" s="15">
        <v>677442.25274323276</v>
      </c>
      <c r="C240" s="15">
        <v>159465.98725676723</v>
      </c>
    </row>
    <row r="241" spans="1:3">
      <c r="A241" s="15">
        <v>217</v>
      </c>
      <c r="B241" s="15">
        <v>680355.59229227679</v>
      </c>
      <c r="C241" s="15">
        <v>-6066.4922922768164</v>
      </c>
    </row>
    <row r="242" spans="1:3">
      <c r="A242" s="15">
        <v>218</v>
      </c>
      <c r="B242" s="15">
        <v>663707.93772631104</v>
      </c>
      <c r="C242" s="15">
        <v>-40815.517726310994</v>
      </c>
    </row>
    <row r="243" spans="1:3">
      <c r="A243" s="15">
        <v>219</v>
      </c>
      <c r="B243" s="15">
        <v>666066.3554564896</v>
      </c>
      <c r="C243" s="15">
        <v>7282.2045435104519</v>
      </c>
    </row>
    <row r="244" spans="1:3">
      <c r="A244" s="15">
        <v>220</v>
      </c>
      <c r="B244" s="15">
        <v>679384.47910926212</v>
      </c>
      <c r="C244" s="15">
        <v>-73106.17910926207</v>
      </c>
    </row>
    <row r="245" spans="1:3">
      <c r="A245" s="15">
        <v>221</v>
      </c>
      <c r="B245" s="15">
        <v>677580.98319794913</v>
      </c>
      <c r="C245" s="15">
        <v>34638.826802050928</v>
      </c>
    </row>
    <row r="246" spans="1:3">
      <c r="A246" s="15">
        <v>222</v>
      </c>
      <c r="B246" s="15">
        <v>685627.34957149928</v>
      </c>
      <c r="C246" s="15">
        <v>-12956.809571499238</v>
      </c>
    </row>
    <row r="247" spans="1:3">
      <c r="A247" s="15">
        <v>223</v>
      </c>
      <c r="B247" s="15">
        <v>681742.89683944057</v>
      </c>
      <c r="C247" s="15">
        <v>50925.023160559474</v>
      </c>
    </row>
    <row r="248" spans="1:3">
      <c r="A248" s="15">
        <v>224</v>
      </c>
      <c r="B248" s="15">
        <v>692980.06367146748</v>
      </c>
      <c r="C248" s="15">
        <v>30551.336328532547</v>
      </c>
    </row>
    <row r="249" spans="1:3">
      <c r="A249" s="15">
        <v>225</v>
      </c>
      <c r="B249" s="15">
        <v>670366.99955269741</v>
      </c>
      <c r="C249" s="15">
        <v>-28802.399552697432</v>
      </c>
    </row>
    <row r="250" spans="1:3">
      <c r="A250" s="15">
        <v>226</v>
      </c>
      <c r="B250" s="15">
        <v>682297.81865830615</v>
      </c>
      <c r="C250" s="15">
        <v>-145752.32865830616</v>
      </c>
    </row>
    <row r="251" spans="1:3">
      <c r="A251" s="15">
        <v>227</v>
      </c>
      <c r="B251" s="15">
        <v>674112.72183003963</v>
      </c>
      <c r="C251" s="15">
        <v>-146431.16183003958</v>
      </c>
    </row>
    <row r="252" spans="1:3">
      <c r="A252" s="15">
        <v>228</v>
      </c>
      <c r="B252" s="15">
        <v>684933.69729791733</v>
      </c>
      <c r="C252" s="15">
        <v>-155334.75729791739</v>
      </c>
    </row>
    <row r="253" spans="1:3">
      <c r="A253" s="15">
        <v>229</v>
      </c>
      <c r="B253" s="15">
        <v>687985.76730167773</v>
      </c>
      <c r="C253" s="15">
        <v>-117022.45730167767</v>
      </c>
    </row>
    <row r="254" spans="1:3">
      <c r="A254" s="15">
        <v>230</v>
      </c>
      <c r="B254" s="15">
        <v>669812.07773383183</v>
      </c>
      <c r="C254" s="15">
        <v>201125.32226616819</v>
      </c>
    </row>
    <row r="255" spans="1:3">
      <c r="A255" s="15">
        <v>231</v>
      </c>
      <c r="B255" s="15">
        <v>674390.18273947237</v>
      </c>
      <c r="C255" s="15">
        <v>-77420.912739472347</v>
      </c>
    </row>
    <row r="256" spans="1:3">
      <c r="A256" s="15">
        <v>232</v>
      </c>
      <c r="B256" s="15">
        <v>697835.62958654074</v>
      </c>
      <c r="C256" s="15">
        <v>-50322.779586540768</v>
      </c>
    </row>
    <row r="257" spans="1:3">
      <c r="A257" s="15">
        <v>233</v>
      </c>
      <c r="B257" s="15">
        <v>688263.22821111046</v>
      </c>
      <c r="C257" s="15">
        <v>-30191.088211110444</v>
      </c>
    </row>
    <row r="258" spans="1:3">
      <c r="A258" s="15">
        <v>234</v>
      </c>
      <c r="B258" s="15">
        <v>680355.59229227679</v>
      </c>
      <c r="C258" s="15">
        <v>42949.517707723193</v>
      </c>
    </row>
    <row r="259" spans="1:3">
      <c r="A259" s="15">
        <v>235</v>
      </c>
      <c r="B259" s="15">
        <v>691176.56776015449</v>
      </c>
      <c r="C259" s="15">
        <v>-50510.037760154461</v>
      </c>
    </row>
    <row r="260" spans="1:3">
      <c r="A260" s="15">
        <v>236</v>
      </c>
      <c r="B260" s="15">
        <v>681326.70547529147</v>
      </c>
      <c r="C260" s="15">
        <v>-10697.225475291489</v>
      </c>
    </row>
    <row r="261" spans="1:3">
      <c r="A261" s="15">
        <v>237</v>
      </c>
      <c r="B261" s="15">
        <v>681049.24456585874</v>
      </c>
      <c r="C261" s="15">
        <v>40030.105434141238</v>
      </c>
    </row>
    <row r="262" spans="1:3">
      <c r="A262" s="15">
        <v>238</v>
      </c>
      <c r="B262" s="15">
        <v>683130.20138660434</v>
      </c>
      <c r="C262" s="15">
        <v>127224.81861339568</v>
      </c>
    </row>
    <row r="263" spans="1:3">
      <c r="A263" s="15">
        <v>239</v>
      </c>
      <c r="B263" s="15">
        <v>669950.8081885482</v>
      </c>
      <c r="C263" s="15">
        <v>91968.441811451805</v>
      </c>
    </row>
    <row r="264" spans="1:3">
      <c r="A264" s="15">
        <v>240</v>
      </c>
      <c r="B264" s="15">
        <v>672031.76500929391</v>
      </c>
      <c r="C264" s="15">
        <v>65038.414990706136</v>
      </c>
    </row>
    <row r="265" spans="1:3">
      <c r="A265" s="15">
        <v>241</v>
      </c>
      <c r="B265" s="15">
        <v>658852.37181123777</v>
      </c>
      <c r="C265" s="15">
        <v>118140.55818876228</v>
      </c>
    </row>
    <row r="266" spans="1:3">
      <c r="A266" s="15">
        <v>242</v>
      </c>
      <c r="B266" s="15">
        <v>689650.53275827423</v>
      </c>
      <c r="C266" s="15">
        <v>-13313.122758274199</v>
      </c>
    </row>
    <row r="267" spans="1:3">
      <c r="A267" s="15">
        <v>243</v>
      </c>
      <c r="B267" s="15">
        <v>676748.60046965093</v>
      </c>
      <c r="C267" s="15">
        <v>151471.06953034911</v>
      </c>
    </row>
    <row r="268" spans="1:3">
      <c r="A268" s="15">
        <v>244</v>
      </c>
      <c r="B268" s="15">
        <v>697835.62958654074</v>
      </c>
      <c r="C268" s="15">
        <v>65324.290413459297</v>
      </c>
    </row>
    <row r="269" spans="1:3">
      <c r="A269" s="15">
        <v>245</v>
      </c>
      <c r="B269" s="15">
        <v>686182.27139036474</v>
      </c>
      <c r="C269" s="15">
        <v>115819.40860963531</v>
      </c>
    </row>
    <row r="270" spans="1:3">
      <c r="A270" s="15">
        <v>246</v>
      </c>
      <c r="B270" s="15">
        <v>697835.62958654074</v>
      </c>
      <c r="C270" s="15">
        <v>52635.710413459223</v>
      </c>
    </row>
    <row r="271" spans="1:3">
      <c r="A271" s="15">
        <v>247</v>
      </c>
      <c r="B271" s="15">
        <v>668702.23409610079</v>
      </c>
      <c r="C271" s="15">
        <v>10528.625903899199</v>
      </c>
    </row>
    <row r="272" spans="1:3">
      <c r="A272" s="15">
        <v>248</v>
      </c>
      <c r="B272" s="15">
        <v>666343.81636592234</v>
      </c>
      <c r="C272" s="15">
        <v>13544.923634077655</v>
      </c>
    </row>
    <row r="273" spans="1:3">
      <c r="A273" s="15">
        <v>249</v>
      </c>
      <c r="B273" s="15">
        <v>677026.06137908367</v>
      </c>
      <c r="C273" s="15">
        <v>-70242.391379083623</v>
      </c>
    </row>
    <row r="274" spans="1:3">
      <c r="A274" s="15">
        <v>250</v>
      </c>
      <c r="B274" s="15">
        <v>694228.63776391488</v>
      </c>
      <c r="C274" s="15">
        <v>-51477.217763914843</v>
      </c>
    </row>
    <row r="275" spans="1:3">
      <c r="A275" s="15">
        <v>251</v>
      </c>
      <c r="B275" s="15">
        <v>659962.21544896881</v>
      </c>
      <c r="C275" s="15">
        <v>-12008.435448968783</v>
      </c>
    </row>
    <row r="276" spans="1:3">
      <c r="A276" s="15">
        <v>252</v>
      </c>
      <c r="B276" s="15">
        <v>685766.08002621564</v>
      </c>
      <c r="C276" s="15">
        <v>43674.369973784313</v>
      </c>
    </row>
    <row r="277" spans="1:3">
      <c r="A277" s="15">
        <v>253</v>
      </c>
      <c r="B277" s="15">
        <v>690899.10685072176</v>
      </c>
      <c r="C277" s="15">
        <v>74049.893149278243</v>
      </c>
    </row>
    <row r="278" spans="1:3">
      <c r="A278" s="15">
        <v>254</v>
      </c>
      <c r="B278" s="15">
        <v>687569.57593752863</v>
      </c>
      <c r="C278" s="15">
        <v>111477.36406247132</v>
      </c>
    </row>
    <row r="279" spans="1:3">
      <c r="A279" s="15">
        <v>255</v>
      </c>
      <c r="B279" s="15">
        <v>689650.53275827423</v>
      </c>
      <c r="C279" s="15">
        <v>30429.007241725805</v>
      </c>
    </row>
    <row r="280" spans="1:3">
      <c r="A280" s="15">
        <v>256</v>
      </c>
      <c r="B280" s="15">
        <v>697835.62958654074</v>
      </c>
      <c r="C280" s="15">
        <v>-85445.489586540731</v>
      </c>
    </row>
    <row r="281" spans="1:3">
      <c r="A281" s="15">
        <v>257</v>
      </c>
      <c r="B281" s="15">
        <v>690760.37639600527</v>
      </c>
      <c r="C281" s="15">
        <v>149347.74360399472</v>
      </c>
    </row>
    <row r="282" spans="1:3">
      <c r="A282" s="15">
        <v>258</v>
      </c>
      <c r="B282" s="15">
        <v>682020.3577488733</v>
      </c>
      <c r="C282" s="15">
        <v>15867.732251126668</v>
      </c>
    </row>
    <row r="283" spans="1:3">
      <c r="A283" s="15">
        <v>259</v>
      </c>
      <c r="B283" s="15">
        <v>677997.17456209834</v>
      </c>
      <c r="C283" s="15">
        <v>68118.415437901625</v>
      </c>
    </row>
    <row r="284" spans="1:3">
      <c r="A284" s="15">
        <v>260</v>
      </c>
      <c r="B284" s="15">
        <v>696864.51640352607</v>
      </c>
      <c r="C284" s="15">
        <v>79245.803596473881</v>
      </c>
    </row>
    <row r="285" spans="1:3">
      <c r="A285" s="15">
        <v>261</v>
      </c>
      <c r="B285" s="15">
        <v>679107.01819982938</v>
      </c>
      <c r="C285" s="15">
        <v>-150254.39819982939</v>
      </c>
    </row>
    <row r="286" spans="1:3">
      <c r="A286" s="15">
        <v>262</v>
      </c>
      <c r="B286" s="15">
        <v>674390.18273947237</v>
      </c>
      <c r="C286" s="15">
        <v>-68638.852739472408</v>
      </c>
    </row>
    <row r="287" spans="1:3">
      <c r="A287" s="15">
        <v>263</v>
      </c>
      <c r="B287" s="15">
        <v>685904.81048093201</v>
      </c>
      <c r="C287" s="15">
        <v>-8264.1604809319833</v>
      </c>
    </row>
    <row r="288" spans="1:3">
      <c r="A288" s="15">
        <v>264</v>
      </c>
      <c r="B288" s="15">
        <v>667731.12091308611</v>
      </c>
      <c r="C288" s="15">
        <v>-31117.890913086128</v>
      </c>
    </row>
    <row r="289" spans="1:3">
      <c r="A289" s="15">
        <v>265</v>
      </c>
      <c r="B289" s="15">
        <v>684794.96684320096</v>
      </c>
      <c r="C289" s="15">
        <v>24190.22315679898</v>
      </c>
    </row>
    <row r="290" spans="1:3">
      <c r="A290" s="15">
        <v>266</v>
      </c>
      <c r="B290" s="15">
        <v>668563.50364138442</v>
      </c>
      <c r="C290" s="15">
        <v>99229.436358615523</v>
      </c>
    </row>
    <row r="291" spans="1:3">
      <c r="A291" s="15">
        <v>267</v>
      </c>
      <c r="B291" s="15">
        <v>674251.452284756</v>
      </c>
      <c r="C291" s="15">
        <v>71329.057715244009</v>
      </c>
    </row>
    <row r="292" spans="1:3">
      <c r="A292" s="15">
        <v>268</v>
      </c>
      <c r="B292" s="15">
        <v>694228.63776391488</v>
      </c>
      <c r="C292" s="15">
        <v>68099.672236085171</v>
      </c>
    </row>
    <row r="293" spans="1:3">
      <c r="A293" s="15">
        <v>269</v>
      </c>
      <c r="B293" s="15">
        <v>683130.20138660434</v>
      </c>
      <c r="C293" s="15">
        <v>-22496.211386604351</v>
      </c>
    </row>
    <row r="294" spans="1:3">
      <c r="A294" s="15">
        <v>270</v>
      </c>
      <c r="B294" s="15">
        <v>678552.09638096381</v>
      </c>
      <c r="C294" s="15">
        <v>60822.463619036251</v>
      </c>
    </row>
    <row r="295" spans="1:3">
      <c r="A295" s="15">
        <v>271</v>
      </c>
      <c r="B295" s="15">
        <v>670366.99955269741</v>
      </c>
      <c r="C295" s="15">
        <v>129389.46044730255</v>
      </c>
    </row>
    <row r="296" spans="1:3">
      <c r="A296" s="15">
        <v>272</v>
      </c>
      <c r="B296" s="15">
        <v>682436.54911302251</v>
      </c>
      <c r="C296" s="15">
        <v>-89093.549113022513</v>
      </c>
    </row>
    <row r="297" spans="1:3">
      <c r="A297" s="15">
        <v>273</v>
      </c>
      <c r="B297" s="15">
        <v>690621.64594128891</v>
      </c>
      <c r="C297" s="15">
        <v>-45581.675941288937</v>
      </c>
    </row>
    <row r="298" spans="1:3">
      <c r="A298" s="15">
        <v>274</v>
      </c>
      <c r="B298" s="15">
        <v>676609.87001493445</v>
      </c>
      <c r="C298" s="15">
        <v>-115012.54001493449</v>
      </c>
    </row>
    <row r="299" spans="1:3">
      <c r="A299" s="15">
        <v>275</v>
      </c>
      <c r="B299" s="15">
        <v>678274.63547153107</v>
      </c>
      <c r="C299" s="15">
        <v>-42436.895471531083</v>
      </c>
    </row>
    <row r="300" spans="1:3">
      <c r="A300" s="15">
        <v>276</v>
      </c>
      <c r="B300" s="15">
        <v>663569.20727159467</v>
      </c>
      <c r="C300" s="15">
        <v>23168.662728405325</v>
      </c>
    </row>
    <row r="301" spans="1:3">
      <c r="A301" s="15">
        <v>277</v>
      </c>
      <c r="B301" s="15">
        <v>679800.67047341121</v>
      </c>
      <c r="C301" s="15">
        <v>-6724.3304734112462</v>
      </c>
    </row>
    <row r="302" spans="1:3">
      <c r="A302" s="15">
        <v>278</v>
      </c>
      <c r="B302" s="15">
        <v>697835.62958654074</v>
      </c>
      <c r="C302" s="15">
        <v>40712.790413459297</v>
      </c>
    </row>
    <row r="303" spans="1:3">
      <c r="A303" s="15">
        <v>279</v>
      </c>
      <c r="B303" s="15">
        <v>668286.04273195169</v>
      </c>
      <c r="C303" s="15">
        <v>88333.727268048329</v>
      </c>
    </row>
    <row r="304" spans="1:3">
      <c r="A304" s="15">
        <v>280</v>
      </c>
      <c r="B304" s="15">
        <v>697280.70776767517</v>
      </c>
      <c r="C304" s="15">
        <v>63841.712232324877</v>
      </c>
    </row>
    <row r="305" spans="1:3">
      <c r="A305" s="15">
        <v>281</v>
      </c>
      <c r="B305" s="15">
        <v>688263.22821111046</v>
      </c>
      <c r="C305" s="15">
        <v>-163363.65821111051</v>
      </c>
    </row>
    <row r="306" spans="1:3">
      <c r="A306" s="15">
        <v>282</v>
      </c>
      <c r="B306" s="15">
        <v>690760.37639600527</v>
      </c>
      <c r="C306" s="15">
        <v>-135202.60639600526</v>
      </c>
    </row>
    <row r="307" spans="1:3">
      <c r="A307" s="15">
        <v>283</v>
      </c>
      <c r="B307" s="15">
        <v>688124.49775639409</v>
      </c>
      <c r="C307" s="15">
        <v>25959.182243605959</v>
      </c>
    </row>
    <row r="308" spans="1:3">
      <c r="A308" s="15">
        <v>284</v>
      </c>
      <c r="B308" s="15">
        <v>680910.51411114226</v>
      </c>
      <c r="C308" s="15">
        <v>-183470.69411114225</v>
      </c>
    </row>
    <row r="309" spans="1:3">
      <c r="A309" s="15">
        <v>285</v>
      </c>
      <c r="B309" s="15">
        <v>696587.05549409334</v>
      </c>
      <c r="C309" s="15">
        <v>-59811.395494093304</v>
      </c>
    </row>
    <row r="310" spans="1:3">
      <c r="A310" s="15">
        <v>286</v>
      </c>
      <c r="B310" s="15">
        <v>678413.36592624744</v>
      </c>
      <c r="C310" s="15">
        <v>-45403.835926247411</v>
      </c>
    </row>
    <row r="311" spans="1:3">
      <c r="A311" s="15">
        <v>287</v>
      </c>
      <c r="B311" s="15">
        <v>672447.95637344313</v>
      </c>
      <c r="C311" s="15">
        <v>-62498.956373443129</v>
      </c>
    </row>
    <row r="312" spans="1:3">
      <c r="A312" s="15">
        <v>288</v>
      </c>
      <c r="B312" s="15">
        <v>673696.53046589054</v>
      </c>
      <c r="C312" s="15">
        <v>-125592.83046589058</v>
      </c>
    </row>
    <row r="313" spans="1:3">
      <c r="A313" s="15">
        <v>289</v>
      </c>
      <c r="B313" s="15">
        <v>659962.21544896881</v>
      </c>
      <c r="C313" s="15">
        <v>69462.204551031231</v>
      </c>
    </row>
    <row r="314" spans="1:3">
      <c r="A314" s="15">
        <v>290</v>
      </c>
      <c r="B314" s="15">
        <v>658436.18044708867</v>
      </c>
      <c r="C314" s="15">
        <v>37825.30955291132</v>
      </c>
    </row>
    <row r="315" spans="1:3">
      <c r="A315" s="15">
        <v>291</v>
      </c>
      <c r="B315" s="15">
        <v>693396.25503561657</v>
      </c>
      <c r="C315" s="15">
        <v>119920.45496438339</v>
      </c>
    </row>
    <row r="316" spans="1:3">
      <c r="A316" s="15">
        <v>292</v>
      </c>
      <c r="B316" s="15">
        <v>697835.62958654074</v>
      </c>
      <c r="C316" s="15">
        <v>4233.2904134592973</v>
      </c>
    </row>
    <row r="317" spans="1:3">
      <c r="A317" s="15">
        <v>293</v>
      </c>
      <c r="B317" s="15">
        <v>684517.50593376823</v>
      </c>
      <c r="C317" s="15">
        <v>-138293.80593376828</v>
      </c>
    </row>
    <row r="318" spans="1:3">
      <c r="A318" s="15">
        <v>294</v>
      </c>
      <c r="B318" s="15">
        <v>681326.70547529147</v>
      </c>
      <c r="C318" s="15">
        <v>-148205.44547529146</v>
      </c>
    </row>
    <row r="319" spans="1:3">
      <c r="A319" s="15">
        <v>295</v>
      </c>
      <c r="B319" s="15">
        <v>668147.31227723532</v>
      </c>
      <c r="C319" s="15">
        <v>-169176.99227723532</v>
      </c>
    </row>
    <row r="320" spans="1:3">
      <c r="A320" s="15">
        <v>296</v>
      </c>
      <c r="B320" s="15">
        <v>674112.72183003963</v>
      </c>
      <c r="C320" s="15">
        <v>-186374.46183003963</v>
      </c>
    </row>
    <row r="321" spans="1:3">
      <c r="A321" s="15">
        <v>297</v>
      </c>
      <c r="B321" s="15">
        <v>692841.33321675099</v>
      </c>
      <c r="C321" s="15">
        <v>-24381.963216750999</v>
      </c>
    </row>
    <row r="322" spans="1:3">
      <c r="A322" s="15">
        <v>298</v>
      </c>
      <c r="B322" s="15">
        <v>683685.12320546992</v>
      </c>
      <c r="C322" s="15">
        <v>79477.326794530032</v>
      </c>
    </row>
    <row r="323" spans="1:3">
      <c r="A323" s="15">
        <v>299</v>
      </c>
      <c r="B323" s="15">
        <v>682020.3577488733</v>
      </c>
      <c r="C323" s="15">
        <v>-83003.027748873341</v>
      </c>
    </row>
    <row r="324" spans="1:3">
      <c r="A324" s="15">
        <v>300</v>
      </c>
      <c r="B324" s="15">
        <v>681604.1663847242</v>
      </c>
      <c r="C324" s="15">
        <v>-280021.58638472419</v>
      </c>
    </row>
    <row r="325" spans="1:3">
      <c r="A325" s="15">
        <v>301</v>
      </c>
      <c r="B325" s="15">
        <v>678274.63547153107</v>
      </c>
      <c r="C325" s="15">
        <v>25538.354528468917</v>
      </c>
    </row>
    <row r="326" spans="1:3">
      <c r="A326" s="15">
        <v>302</v>
      </c>
      <c r="B326" s="15">
        <v>687569.57593752863</v>
      </c>
      <c r="C326" s="15">
        <v>36777.154062471353</v>
      </c>
    </row>
    <row r="327" spans="1:3">
      <c r="A327" s="15">
        <v>303</v>
      </c>
      <c r="B327" s="15">
        <v>678690.82683568017</v>
      </c>
      <c r="C327" s="15">
        <v>52199.183164319838</v>
      </c>
    </row>
    <row r="328" spans="1:3">
      <c r="A328" s="15">
        <v>304</v>
      </c>
      <c r="B328" s="15">
        <v>670366.99955269741</v>
      </c>
      <c r="C328" s="15">
        <v>110213.95044730254</v>
      </c>
    </row>
    <row r="329" spans="1:3">
      <c r="A329" s="15">
        <v>305</v>
      </c>
      <c r="B329" s="15">
        <v>672447.95637344313</v>
      </c>
      <c r="C329" s="15">
        <v>55509.523626556853</v>
      </c>
    </row>
    <row r="330" spans="1:3">
      <c r="A330" s="15">
        <v>306</v>
      </c>
      <c r="B330" s="15">
        <v>691315.29821487085</v>
      </c>
      <c r="C330" s="15">
        <v>-152939.29821487085</v>
      </c>
    </row>
    <row r="331" spans="1:3">
      <c r="A331" s="15">
        <v>307</v>
      </c>
      <c r="B331" s="15">
        <v>677580.98319794913</v>
      </c>
      <c r="C331" s="15">
        <v>-12238.493197949138</v>
      </c>
    </row>
    <row r="332" spans="1:3">
      <c r="A332" s="15">
        <v>308</v>
      </c>
      <c r="B332" s="15">
        <v>687430.84548281215</v>
      </c>
      <c r="C332" s="15">
        <v>-36266.665482812095</v>
      </c>
    </row>
    <row r="333" spans="1:3">
      <c r="A333" s="15">
        <v>309</v>
      </c>
      <c r="B333" s="15">
        <v>676471.13956021809</v>
      </c>
      <c r="C333" s="15">
        <v>-47932.839560218039</v>
      </c>
    </row>
    <row r="334" spans="1:3">
      <c r="A334" s="15">
        <v>310</v>
      </c>
      <c r="B334" s="15">
        <v>674667.64364890521</v>
      </c>
      <c r="C334" s="15">
        <v>-138142.80364890525</v>
      </c>
    </row>
    <row r="335" spans="1:3">
      <c r="A335" s="15">
        <v>311</v>
      </c>
      <c r="B335" s="15">
        <v>670089.53864326456</v>
      </c>
      <c r="C335" s="15">
        <v>-48412.238643264514</v>
      </c>
    </row>
    <row r="336" spans="1:3">
      <c r="A336" s="15">
        <v>312</v>
      </c>
      <c r="B336" s="15">
        <v>678135.90501681471</v>
      </c>
      <c r="C336" s="15">
        <v>92993.164983185241</v>
      </c>
    </row>
    <row r="337" spans="1:3">
      <c r="A337" s="15">
        <v>313</v>
      </c>
      <c r="B337" s="15">
        <v>694922.29003749671</v>
      </c>
      <c r="C337" s="15">
        <v>7130.1799625032581</v>
      </c>
    </row>
    <row r="338" spans="1:3">
      <c r="A338" s="15">
        <v>314</v>
      </c>
      <c r="B338" s="15">
        <v>672447.95637344313</v>
      </c>
      <c r="C338" s="15">
        <v>15920.503626556834</v>
      </c>
    </row>
    <row r="339" spans="1:3">
      <c r="A339" s="15">
        <v>315</v>
      </c>
      <c r="B339" s="15">
        <v>685211.15820735006</v>
      </c>
      <c r="C339" s="15">
        <v>27164.611792649957</v>
      </c>
    </row>
    <row r="340" spans="1:3">
      <c r="A340" s="15">
        <v>316</v>
      </c>
      <c r="B340" s="15">
        <v>682852.74047717161</v>
      </c>
      <c r="C340" s="15">
        <v>161857.92952282843</v>
      </c>
    </row>
    <row r="341" spans="1:3">
      <c r="A341" s="15">
        <v>317</v>
      </c>
      <c r="B341" s="15">
        <v>673696.53046589054</v>
      </c>
      <c r="C341" s="15">
        <v>-53432.330465890584</v>
      </c>
    </row>
    <row r="342" spans="1:3">
      <c r="A342" s="15">
        <v>318</v>
      </c>
      <c r="B342" s="15">
        <v>697835.62958654074</v>
      </c>
      <c r="C342" s="15">
        <v>-160990.2095865407</v>
      </c>
    </row>
    <row r="343" spans="1:3">
      <c r="A343" s="15">
        <v>319</v>
      </c>
      <c r="B343" s="15">
        <v>668008.58182251884</v>
      </c>
      <c r="C343" s="15">
        <v>58767.638177481131</v>
      </c>
    </row>
    <row r="344" spans="1:3" ht="15" thickBot="1">
      <c r="A344" s="16">
        <v>320</v>
      </c>
      <c r="B344" s="16">
        <v>674945.10455833795</v>
      </c>
      <c r="C344" s="16">
        <v>-115284.26455833798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87612-1406-4E09-AB6C-056F2238C9E4}">
  <dimension ref="A1:I349"/>
  <sheetViews>
    <sheetView workbookViewId="0">
      <selection activeCell="B23" sqref="B23"/>
    </sheetView>
  </sheetViews>
  <sheetFormatPr defaultRowHeight="14.4"/>
  <cols>
    <col min="1" max="1" width="22.21875" bestFit="1" customWidth="1"/>
    <col min="2" max="2" width="21.44140625" bestFit="1" customWidth="1"/>
    <col min="3" max="3" width="13.44140625" bestFit="1" customWidth="1"/>
    <col min="4" max="4" width="12.6640625" bestFit="1" customWidth="1"/>
    <col min="5" max="5" width="12" bestFit="1" customWidth="1"/>
    <col min="6" max="8" width="12.6640625" bestFit="1" customWidth="1"/>
  </cols>
  <sheetData>
    <row r="1" spans="1:9">
      <c r="A1" t="s">
        <v>128</v>
      </c>
    </row>
    <row r="2" spans="1:9" ht="15" thickBot="1"/>
    <row r="3" spans="1:9">
      <c r="A3" s="18" t="s">
        <v>129</v>
      </c>
      <c r="B3" s="18"/>
    </row>
    <row r="4" spans="1:9">
      <c r="A4" s="15" t="s">
        <v>130</v>
      </c>
      <c r="B4" s="15">
        <v>0.9059245933041199</v>
      </c>
    </row>
    <row r="5" spans="1:9">
      <c r="A5" s="15" t="s">
        <v>131</v>
      </c>
      <c r="B5" s="15">
        <v>0.82069936875323501</v>
      </c>
    </row>
    <row r="6" spans="1:9">
      <c r="A6" s="15" t="s">
        <v>132</v>
      </c>
      <c r="B6" s="15">
        <v>0.81726229594978272</v>
      </c>
    </row>
    <row r="7" spans="1:9">
      <c r="A7" s="15" t="s">
        <v>133</v>
      </c>
      <c r="B7" s="15">
        <v>44360.125916646735</v>
      </c>
    </row>
    <row r="8" spans="1:9" ht="15" thickBot="1">
      <c r="A8" s="16" t="s">
        <v>134</v>
      </c>
      <c r="B8" s="16">
        <v>320</v>
      </c>
    </row>
    <row r="10" spans="1:9" ht="15" thickBot="1">
      <c r="A10" t="s">
        <v>135</v>
      </c>
    </row>
    <row r="11" spans="1:9">
      <c r="A11" s="17"/>
      <c r="B11" s="17" t="s">
        <v>140</v>
      </c>
      <c r="C11" s="17" t="s">
        <v>141</v>
      </c>
      <c r="D11" s="17" t="s">
        <v>142</v>
      </c>
      <c r="E11" s="17" t="s">
        <v>143</v>
      </c>
      <c r="F11" s="17" t="s">
        <v>144</v>
      </c>
    </row>
    <row r="12" spans="1:9">
      <c r="A12" s="15" t="s">
        <v>136</v>
      </c>
      <c r="B12" s="15">
        <v>6</v>
      </c>
      <c r="C12" s="15">
        <v>2819240715361.0835</v>
      </c>
      <c r="D12" s="15">
        <v>469873452560.1806</v>
      </c>
      <c r="E12" s="15">
        <v>238.77858156768889</v>
      </c>
      <c r="F12" s="15">
        <v>1.2924312896811043E-113</v>
      </c>
    </row>
    <row r="13" spans="1:9">
      <c r="A13" s="15" t="s">
        <v>137</v>
      </c>
      <c r="B13" s="15">
        <v>313</v>
      </c>
      <c r="C13" s="15">
        <v>615927901429.65588</v>
      </c>
      <c r="D13" s="15">
        <v>1967820771.3407536</v>
      </c>
      <c r="E13" s="15"/>
      <c r="F13" s="15"/>
    </row>
    <row r="14" spans="1:9" ht="15" thickBot="1">
      <c r="A14" s="16" t="s">
        <v>138</v>
      </c>
      <c r="B14" s="16">
        <v>319</v>
      </c>
      <c r="C14" s="16">
        <v>3435168616790.7393</v>
      </c>
      <c r="D14" s="16"/>
      <c r="E14" s="16"/>
      <c r="F14" s="16"/>
    </row>
    <row r="15" spans="1:9" ht="15" thickBot="1"/>
    <row r="16" spans="1:9">
      <c r="A16" s="17"/>
      <c r="B16" s="17" t="s">
        <v>145</v>
      </c>
      <c r="C16" s="17" t="s">
        <v>133</v>
      </c>
      <c r="D16" s="17" t="s">
        <v>146</v>
      </c>
      <c r="E16" s="17" t="s">
        <v>147</v>
      </c>
      <c r="F16" s="17" t="s">
        <v>148</v>
      </c>
      <c r="G16" s="17" t="s">
        <v>149</v>
      </c>
      <c r="H16" s="17" t="s">
        <v>150</v>
      </c>
      <c r="I16" s="17" t="s">
        <v>151</v>
      </c>
    </row>
    <row r="17" spans="1:9">
      <c r="A17" s="15" t="s">
        <v>139</v>
      </c>
      <c r="B17" s="15">
        <v>147642.15965908088</v>
      </c>
      <c r="C17" s="15">
        <v>42525.559428329769</v>
      </c>
      <c r="D17" s="15">
        <v>3.4718452065964898</v>
      </c>
      <c r="E17" s="15">
        <v>5.8958187080436811E-4</v>
      </c>
      <c r="F17" s="15">
        <v>63970.058814918142</v>
      </c>
      <c r="G17" s="15">
        <v>231314.2605032436</v>
      </c>
      <c r="H17" s="15">
        <v>63970.058814918142</v>
      </c>
      <c r="I17" s="15">
        <v>231314.2605032436</v>
      </c>
    </row>
    <row r="18" spans="1:9">
      <c r="A18" s="15" t="s">
        <v>4</v>
      </c>
      <c r="B18" s="15">
        <v>1.203409180383946</v>
      </c>
      <c r="C18" s="15">
        <v>0.12845618223077554</v>
      </c>
      <c r="D18" s="15">
        <v>9.3682465062053915</v>
      </c>
      <c r="E18" s="15">
        <v>1.5115439026110555E-18</v>
      </c>
      <c r="F18" s="15">
        <v>0.95066239049670132</v>
      </c>
      <c r="G18" s="15">
        <v>1.4561559702711906</v>
      </c>
      <c r="H18" s="15">
        <v>0.95066239049670132</v>
      </c>
      <c r="I18" s="15">
        <v>1.4561559702711906</v>
      </c>
    </row>
    <row r="19" spans="1:9">
      <c r="A19" s="15" t="s">
        <v>5</v>
      </c>
      <c r="B19" s="15">
        <v>33.622724024085294</v>
      </c>
      <c r="C19" s="15">
        <v>1.030853063412114</v>
      </c>
      <c r="D19" s="15">
        <v>32.616407922186688</v>
      </c>
      <c r="E19" s="15">
        <v>1.0649661179600359E-102</v>
      </c>
      <c r="F19" s="15">
        <v>31.594446380314384</v>
      </c>
      <c r="G19" s="15">
        <v>35.651001667856207</v>
      </c>
      <c r="H19" s="15">
        <v>31.594446380314384</v>
      </c>
      <c r="I19" s="15">
        <v>35.651001667856207</v>
      </c>
    </row>
    <row r="20" spans="1:9">
      <c r="A20" s="15" t="s">
        <v>8</v>
      </c>
      <c r="B20" s="15">
        <v>2893.1763809415843</v>
      </c>
      <c r="C20" s="15">
        <v>464.36553536824999</v>
      </c>
      <c r="D20" s="15">
        <v>6.2303856780569316</v>
      </c>
      <c r="E20" s="15">
        <v>1.4995085790281498E-9</v>
      </c>
      <c r="F20" s="15">
        <v>1979.5037467374664</v>
      </c>
      <c r="G20" s="15">
        <v>3806.8490151457022</v>
      </c>
      <c r="H20" s="15">
        <v>1979.5037467374664</v>
      </c>
      <c r="I20" s="15">
        <v>3806.8490151457022</v>
      </c>
    </row>
    <row r="21" spans="1:9">
      <c r="A21" s="15" t="s">
        <v>9</v>
      </c>
      <c r="B21" s="15">
        <v>-2862.4094127211333</v>
      </c>
      <c r="C21" s="15">
        <v>586.2236207278205</v>
      </c>
      <c r="D21" s="15">
        <v>-4.8827944004837871</v>
      </c>
      <c r="E21" s="15">
        <v>1.6706534582351081E-6</v>
      </c>
      <c r="F21" s="15">
        <v>-4015.8466060268561</v>
      </c>
      <c r="G21" s="15">
        <v>-1708.9722194154106</v>
      </c>
      <c r="H21" s="15">
        <v>-4015.8466060268561</v>
      </c>
      <c r="I21" s="15">
        <v>-1708.9722194154106</v>
      </c>
    </row>
    <row r="22" spans="1:9">
      <c r="A22" s="15" t="s">
        <v>122</v>
      </c>
      <c r="B22" s="15">
        <v>11558.434819297265</v>
      </c>
      <c r="C22" s="15">
        <v>6367.065730556993</v>
      </c>
      <c r="D22" s="15">
        <v>1.8153471800716166</v>
      </c>
      <c r="E22" s="15">
        <v>7.0427453765033482E-2</v>
      </c>
      <c r="F22" s="15">
        <v>-969.22555837366781</v>
      </c>
      <c r="G22" s="15">
        <v>24086.095196968199</v>
      </c>
      <c r="H22" s="15">
        <v>-969.22555837366781</v>
      </c>
      <c r="I22" s="15">
        <v>24086.095196968199</v>
      </c>
    </row>
    <row r="23" spans="1:9" ht="15" thickBot="1">
      <c r="A23" s="16" t="s">
        <v>123</v>
      </c>
      <c r="B23" s="16">
        <v>-244.44765582075996</v>
      </c>
      <c r="C23" s="16">
        <v>5204.8640058386127</v>
      </c>
      <c r="D23" s="16">
        <v>-4.6965233970868048E-2</v>
      </c>
      <c r="E23" s="16">
        <v>0.96257088751210995</v>
      </c>
      <c r="F23" s="16">
        <v>-10485.392438937655</v>
      </c>
      <c r="G23" s="16">
        <v>9996.4971272961338</v>
      </c>
      <c r="H23" s="16">
        <v>-10485.392438937655</v>
      </c>
      <c r="I23" s="16">
        <v>9996.4971272961338</v>
      </c>
    </row>
    <row r="27" spans="1:9">
      <c r="A27" t="s">
        <v>152</v>
      </c>
    </row>
    <row r="28" spans="1:9" ht="15" thickBot="1"/>
    <row r="29" spans="1:9">
      <c r="A29" s="17" t="s">
        <v>153</v>
      </c>
      <c r="B29" s="17" t="s">
        <v>154</v>
      </c>
      <c r="C29" s="17" t="s">
        <v>155</v>
      </c>
    </row>
    <row r="30" spans="1:9">
      <c r="A30" s="15">
        <v>1</v>
      </c>
      <c r="B30" s="15">
        <v>713359.62255154364</v>
      </c>
      <c r="C30" s="15">
        <v>-54527.002551543643</v>
      </c>
    </row>
    <row r="31" spans="1:9">
      <c r="A31" s="15">
        <v>2</v>
      </c>
      <c r="B31" s="15">
        <v>717588.20561699208</v>
      </c>
      <c r="C31" s="15">
        <v>-83152.205616992083</v>
      </c>
    </row>
    <row r="32" spans="1:9">
      <c r="A32" s="15">
        <v>3</v>
      </c>
      <c r="B32" s="15">
        <v>746407.03631544765</v>
      </c>
      <c r="C32" s="15">
        <v>-67684.976315447595</v>
      </c>
    </row>
    <row r="33" spans="1:3">
      <c r="A33" s="15">
        <v>4</v>
      </c>
      <c r="B33" s="15">
        <v>770350.71316052228</v>
      </c>
      <c r="C33" s="15">
        <v>-111430.41316052224</v>
      </c>
    </row>
    <row r="34" spans="1:3">
      <c r="A34" s="15">
        <v>5</v>
      </c>
      <c r="B34" s="15">
        <v>789095.7216913912</v>
      </c>
      <c r="C34" s="15">
        <v>-47754.281691391254</v>
      </c>
    </row>
    <row r="35" spans="1:3">
      <c r="A35" s="15">
        <v>6</v>
      </c>
      <c r="B35" s="15">
        <v>789987.54291953961</v>
      </c>
      <c r="C35" s="15">
        <v>-28152.202919539646</v>
      </c>
    </row>
    <row r="36" spans="1:3">
      <c r="A36" s="15">
        <v>7</v>
      </c>
      <c r="B36" s="15">
        <v>805876.38600384281</v>
      </c>
      <c r="C36" s="15">
        <v>739.15399615722708</v>
      </c>
    </row>
    <row r="37" spans="1:3">
      <c r="A37" s="15">
        <v>8</v>
      </c>
      <c r="B37" s="15">
        <v>791751.87780301634</v>
      </c>
      <c r="C37" s="15">
        <v>58412.382196983672</v>
      </c>
    </row>
    <row r="38" spans="1:3">
      <c r="A38" s="15">
        <v>9</v>
      </c>
      <c r="B38" s="15">
        <v>837532.46522530203</v>
      </c>
      <c r="C38" s="15">
        <v>93049.234774697921</v>
      </c>
    </row>
    <row r="39" spans="1:3">
      <c r="A39" s="15">
        <v>10</v>
      </c>
      <c r="B39" s="15">
        <v>788124.70379177982</v>
      </c>
      <c r="C39" s="15">
        <v>-9113.7637917798711</v>
      </c>
    </row>
    <row r="40" spans="1:3">
      <c r="A40" s="15">
        <v>11</v>
      </c>
      <c r="B40" s="15">
        <v>722815.59285346139</v>
      </c>
      <c r="C40" s="15">
        <v>245.16714653861709</v>
      </c>
    </row>
    <row r="41" spans="1:3">
      <c r="A41" s="15">
        <v>12</v>
      </c>
      <c r="B41" s="15">
        <v>833326.05602219142</v>
      </c>
      <c r="C41" s="15">
        <v>77465.883977808524</v>
      </c>
    </row>
    <row r="42" spans="1:3">
      <c r="A42" s="15">
        <v>13</v>
      </c>
      <c r="B42" s="15">
        <v>887847.14097476529</v>
      </c>
      <c r="C42" s="15">
        <v>34321.459025234682</v>
      </c>
    </row>
    <row r="43" spans="1:3">
      <c r="A43" s="15">
        <v>14</v>
      </c>
      <c r="B43" s="15">
        <v>795331.68045149045</v>
      </c>
      <c r="C43" s="15">
        <v>-68725.400451490423</v>
      </c>
    </row>
    <row r="44" spans="1:3">
      <c r="A44" s="15">
        <v>15</v>
      </c>
      <c r="B44" s="15">
        <v>774953.15626580128</v>
      </c>
      <c r="C44" s="15">
        <v>-28452.066265801317</v>
      </c>
    </row>
    <row r="45" spans="1:3">
      <c r="A45" s="15">
        <v>16</v>
      </c>
      <c r="B45" s="15">
        <v>823647.95594914444</v>
      </c>
      <c r="C45" s="15">
        <v>10369.064050855581</v>
      </c>
    </row>
    <row r="46" spans="1:3">
      <c r="A46" s="15">
        <v>17</v>
      </c>
      <c r="B46" s="15">
        <v>705447.03343088308</v>
      </c>
      <c r="C46" s="15">
        <v>-39294.51343088306</v>
      </c>
    </row>
    <row r="47" spans="1:3">
      <c r="A47" s="15">
        <v>18</v>
      </c>
      <c r="B47" s="15">
        <v>615641.27980354475</v>
      </c>
      <c r="C47" s="15">
        <v>-42486.089803544804</v>
      </c>
    </row>
    <row r="48" spans="1:3">
      <c r="A48" s="15">
        <v>19</v>
      </c>
      <c r="B48" s="15">
        <v>711944.74919576978</v>
      </c>
      <c r="C48" s="15">
        <v>-45371.549195769825</v>
      </c>
    </row>
    <row r="49" spans="1:3">
      <c r="A49" s="15">
        <v>20</v>
      </c>
      <c r="B49" s="15">
        <v>626683.01560116326</v>
      </c>
      <c r="C49" s="15">
        <v>-35063.065601163311</v>
      </c>
    </row>
    <row r="50" spans="1:3">
      <c r="A50" s="15">
        <v>21</v>
      </c>
      <c r="B50" s="15">
        <v>504504.1245747896</v>
      </c>
      <c r="C50" s="15">
        <v>-88782.304574789596</v>
      </c>
    </row>
    <row r="51" spans="1:3">
      <c r="A51" s="15">
        <v>22</v>
      </c>
      <c r="B51" s="15">
        <v>514766.51305313956</v>
      </c>
      <c r="C51" s="15">
        <v>-22861.383053139551</v>
      </c>
    </row>
    <row r="52" spans="1:3">
      <c r="A52" s="15">
        <v>23</v>
      </c>
      <c r="B52" s="15">
        <v>544245.92844751768</v>
      </c>
      <c r="C52" s="15">
        <v>11683.47155248234</v>
      </c>
    </row>
    <row r="53" spans="1:3">
      <c r="A53" s="15">
        <v>24</v>
      </c>
      <c r="B53" s="15">
        <v>572207.23882959317</v>
      </c>
      <c r="C53" s="15">
        <v>-6396.2488295931835</v>
      </c>
    </row>
    <row r="54" spans="1:3">
      <c r="A54" s="15">
        <v>25</v>
      </c>
      <c r="B54" s="15">
        <v>826346.39693017711</v>
      </c>
      <c r="C54" s="15">
        <v>-14575.2569301771</v>
      </c>
    </row>
    <row r="55" spans="1:3">
      <c r="A55" s="15">
        <v>26</v>
      </c>
      <c r="B55" s="15">
        <v>884519.07840236987</v>
      </c>
      <c r="C55" s="15">
        <v>-84067.138402369921</v>
      </c>
    </row>
    <row r="56" spans="1:3">
      <c r="A56" s="15">
        <v>27</v>
      </c>
      <c r="B56" s="15">
        <v>779093.49202571914</v>
      </c>
      <c r="C56" s="15">
        <v>4579.3279742808081</v>
      </c>
    </row>
    <row r="57" spans="1:3">
      <c r="A57" s="15">
        <v>28</v>
      </c>
      <c r="B57" s="15">
        <v>651314.46982974175</v>
      </c>
      <c r="C57" s="15">
        <v>50327.500170258223</v>
      </c>
    </row>
    <row r="58" spans="1:3">
      <c r="A58" s="15">
        <v>29</v>
      </c>
      <c r="B58" s="15">
        <v>608830.23481709207</v>
      </c>
      <c r="C58" s="15">
        <v>-96985.8248170921</v>
      </c>
    </row>
    <row r="59" spans="1:3">
      <c r="A59" s="15">
        <v>30</v>
      </c>
      <c r="B59" s="15">
        <v>556293.51335972769</v>
      </c>
      <c r="C59" s="15">
        <v>-18909.72335972765</v>
      </c>
    </row>
    <row r="60" spans="1:3">
      <c r="A60" s="15">
        <v>31</v>
      </c>
      <c r="B60" s="15">
        <v>529667.71647538827</v>
      </c>
      <c r="C60" s="15">
        <v>-29494.696475388249</v>
      </c>
    </row>
    <row r="61" spans="1:3">
      <c r="A61" s="15">
        <v>32</v>
      </c>
      <c r="B61" s="15">
        <v>489625.74349945306</v>
      </c>
      <c r="C61" s="15">
        <v>-61708.363499453058</v>
      </c>
    </row>
    <row r="62" spans="1:3">
      <c r="A62" s="15">
        <v>33</v>
      </c>
      <c r="B62" s="15">
        <v>737857.13264269265</v>
      </c>
      <c r="C62" s="15">
        <v>-95992.102642692626</v>
      </c>
    </row>
    <row r="63" spans="1:3">
      <c r="A63" s="15">
        <v>34</v>
      </c>
      <c r="B63" s="15">
        <v>872915.05649908166</v>
      </c>
      <c r="C63" s="15">
        <v>-73437.296499081654</v>
      </c>
    </row>
    <row r="64" spans="1:3">
      <c r="A64" s="15">
        <v>35</v>
      </c>
      <c r="B64" s="15">
        <v>815286.86203240324</v>
      </c>
      <c r="C64" s="15">
        <v>-16334.692032403196</v>
      </c>
    </row>
    <row r="65" spans="1:3">
      <c r="A65" s="15">
        <v>36</v>
      </c>
      <c r="B65" s="15">
        <v>830622.60284095048</v>
      </c>
      <c r="C65" s="15">
        <v>-29642.822840950452</v>
      </c>
    </row>
    <row r="66" spans="1:3">
      <c r="A66" s="15">
        <v>37</v>
      </c>
      <c r="B66" s="15">
        <v>748438.57041888451</v>
      </c>
      <c r="C66" s="15">
        <v>72155.359581115539</v>
      </c>
    </row>
    <row r="67" spans="1:3">
      <c r="A67" s="15">
        <v>38</v>
      </c>
      <c r="B67" s="15">
        <v>738443.66605424613</v>
      </c>
      <c r="C67" s="15">
        <v>-20113.136054246104</v>
      </c>
    </row>
    <row r="68" spans="1:3">
      <c r="A68" s="15">
        <v>39</v>
      </c>
      <c r="B68" s="15">
        <v>739662.21873484971</v>
      </c>
      <c r="C68" s="15">
        <v>-3028.8187348496867</v>
      </c>
    </row>
    <row r="69" spans="1:3">
      <c r="A69" s="15">
        <v>40</v>
      </c>
      <c r="B69" s="15">
        <v>830441.02499435283</v>
      </c>
      <c r="C69" s="15">
        <v>-1817.1749943528557</v>
      </c>
    </row>
    <row r="70" spans="1:3">
      <c r="A70" s="15">
        <v>41</v>
      </c>
      <c r="B70" s="15">
        <v>578881.5740853399</v>
      </c>
      <c r="C70" s="15">
        <v>13314.275914660073</v>
      </c>
    </row>
    <row r="71" spans="1:3">
      <c r="A71" s="15">
        <v>42</v>
      </c>
      <c r="B71" s="15">
        <v>526759.93585724267</v>
      </c>
      <c r="C71" s="15">
        <v>5884.524142757291</v>
      </c>
    </row>
    <row r="72" spans="1:3">
      <c r="A72" s="15">
        <v>43</v>
      </c>
      <c r="B72" s="15">
        <v>594168.41812123626</v>
      </c>
      <c r="C72" s="15">
        <v>63260.761878763791</v>
      </c>
    </row>
    <row r="73" spans="1:3">
      <c r="A73" s="15">
        <v>44</v>
      </c>
      <c r="B73" s="15">
        <v>589258.67917492753</v>
      </c>
      <c r="C73" s="15">
        <v>15919.320825072471</v>
      </c>
    </row>
    <row r="74" spans="1:3">
      <c r="A74" s="15">
        <v>45</v>
      </c>
      <c r="B74" s="15">
        <v>715487.34486907383</v>
      </c>
      <c r="C74" s="15">
        <v>-120019.74486907385</v>
      </c>
    </row>
    <row r="75" spans="1:3">
      <c r="A75" s="15">
        <v>46</v>
      </c>
      <c r="B75" s="15">
        <v>643639.3788728792</v>
      </c>
      <c r="C75" s="15">
        <v>-44035.978872879175</v>
      </c>
    </row>
    <row r="76" spans="1:3">
      <c r="A76" s="15">
        <v>47</v>
      </c>
      <c r="B76" s="15">
        <v>591027.21728986537</v>
      </c>
      <c r="C76" s="15">
        <v>23772.872710134601</v>
      </c>
    </row>
    <row r="77" spans="1:3">
      <c r="A77" s="15">
        <v>48</v>
      </c>
      <c r="B77" s="15">
        <v>562283.14561104495</v>
      </c>
      <c r="C77" s="15">
        <v>23082.584388955031</v>
      </c>
    </row>
    <row r="78" spans="1:3">
      <c r="A78" s="15">
        <v>49</v>
      </c>
      <c r="B78" s="15">
        <v>646876.60588991165</v>
      </c>
      <c r="C78" s="15">
        <v>-24064.865889911656</v>
      </c>
    </row>
    <row r="79" spans="1:3">
      <c r="A79" s="15">
        <v>50</v>
      </c>
      <c r="B79" s="15">
        <v>573711.67515148234</v>
      </c>
      <c r="C79" s="15">
        <v>29585.894848517608</v>
      </c>
    </row>
    <row r="80" spans="1:3">
      <c r="A80" s="15">
        <v>51</v>
      </c>
      <c r="B80" s="15">
        <v>590338.78174769005</v>
      </c>
      <c r="C80" s="15">
        <v>35334.078252309933</v>
      </c>
    </row>
    <row r="81" spans="1:3">
      <c r="A81" s="15">
        <v>52</v>
      </c>
      <c r="B81" s="15">
        <v>718549.3482271079</v>
      </c>
      <c r="C81" s="15">
        <v>55265.791772892117</v>
      </c>
    </row>
    <row r="82" spans="1:3">
      <c r="A82" s="15">
        <v>53</v>
      </c>
      <c r="B82" s="15">
        <v>502310.42898976983</v>
      </c>
      <c r="C82" s="15">
        <v>-38776.178989769833</v>
      </c>
    </row>
    <row r="83" spans="1:3">
      <c r="A83" s="15">
        <v>54</v>
      </c>
      <c r="B83" s="15">
        <v>704459.04366771015</v>
      </c>
      <c r="C83" s="15">
        <v>42218.706332289847</v>
      </c>
    </row>
    <row r="84" spans="1:3">
      <c r="A84" s="15">
        <v>55</v>
      </c>
      <c r="B84" s="15">
        <v>680133.74878244952</v>
      </c>
      <c r="C84" s="15">
        <v>40718.751217550482</v>
      </c>
    </row>
    <row r="85" spans="1:3">
      <c r="A85" s="15">
        <v>56</v>
      </c>
      <c r="B85" s="15">
        <v>534140.0138119458</v>
      </c>
      <c r="C85" s="15">
        <v>-46675.103811945824</v>
      </c>
    </row>
    <row r="86" spans="1:3">
      <c r="A86" s="15">
        <v>57</v>
      </c>
      <c r="B86" s="15">
        <v>524601.72740175959</v>
      </c>
      <c r="C86" s="15">
        <v>-6552.4674017595826</v>
      </c>
    </row>
    <row r="87" spans="1:3">
      <c r="A87" s="15">
        <v>58</v>
      </c>
      <c r="B87" s="15">
        <v>508947.14411116176</v>
      </c>
      <c r="C87" s="15">
        <v>-8648.6641111617791</v>
      </c>
    </row>
    <row r="88" spans="1:3">
      <c r="A88" s="15">
        <v>59</v>
      </c>
      <c r="B88" s="15">
        <v>677393.89985728124</v>
      </c>
      <c r="C88" s="15">
        <v>-60102.749857281218</v>
      </c>
    </row>
    <row r="89" spans="1:3">
      <c r="A89" s="15">
        <v>60</v>
      </c>
      <c r="B89" s="15">
        <v>575967.17347383872</v>
      </c>
      <c r="C89" s="15">
        <v>-22210.743473838666</v>
      </c>
    </row>
    <row r="90" spans="1:3">
      <c r="A90" s="15">
        <v>61</v>
      </c>
      <c r="B90" s="15">
        <v>701171.27572741092</v>
      </c>
      <c r="C90" s="15">
        <v>48388.434272589046</v>
      </c>
    </row>
    <row r="91" spans="1:3">
      <c r="A91" s="15">
        <v>62</v>
      </c>
      <c r="B91" s="15">
        <v>581460.31443524291</v>
      </c>
      <c r="C91" s="15">
        <v>34506.165564757073</v>
      </c>
    </row>
    <row r="92" spans="1:3">
      <c r="A92" s="15">
        <v>63</v>
      </c>
      <c r="B92" s="15">
        <v>590702.31422498345</v>
      </c>
      <c r="C92" s="15">
        <v>-18691.114224983496</v>
      </c>
    </row>
    <row r="93" spans="1:3">
      <c r="A93" s="15">
        <v>64</v>
      </c>
      <c r="B93" s="15">
        <v>732130.57102647296</v>
      </c>
      <c r="C93" s="15">
        <v>29729.618973526987</v>
      </c>
    </row>
    <row r="94" spans="1:3">
      <c r="A94" s="15">
        <v>65</v>
      </c>
      <c r="B94" s="15">
        <v>797910.9815733803</v>
      </c>
      <c r="C94" s="15">
        <v>-13408.301573380246</v>
      </c>
    </row>
    <row r="95" spans="1:3">
      <c r="A95" s="15">
        <v>66</v>
      </c>
      <c r="B95" s="15">
        <v>714619.41351417219</v>
      </c>
      <c r="C95" s="15">
        <v>2522.1364858278539</v>
      </c>
    </row>
    <row r="96" spans="1:3">
      <c r="A96" s="15">
        <v>67</v>
      </c>
      <c r="B96" s="15">
        <v>798613.18285220407</v>
      </c>
      <c r="C96" s="15">
        <v>-113234.10285220412</v>
      </c>
    </row>
    <row r="97" spans="1:3">
      <c r="A97" s="15">
        <v>68</v>
      </c>
      <c r="B97" s="15">
        <v>740286.69533475861</v>
      </c>
      <c r="C97" s="15">
        <v>209.95466524141375</v>
      </c>
    </row>
    <row r="98" spans="1:3">
      <c r="A98" s="15">
        <v>69</v>
      </c>
      <c r="B98" s="15">
        <v>602740.69234465214</v>
      </c>
      <c r="C98" s="15">
        <v>59186.447655347874</v>
      </c>
    </row>
    <row r="99" spans="1:3">
      <c r="A99" s="15">
        <v>70</v>
      </c>
      <c r="B99" s="15">
        <v>516978.56960850453</v>
      </c>
      <c r="C99" s="15">
        <v>-37928.069608504535</v>
      </c>
    </row>
    <row r="100" spans="1:3">
      <c r="A100" s="15">
        <v>71</v>
      </c>
      <c r="B100" s="15">
        <v>609978.97032575391</v>
      </c>
      <c r="C100" s="15">
        <v>-4955.1003257539123</v>
      </c>
    </row>
    <row r="101" spans="1:3">
      <c r="A101" s="15">
        <v>72</v>
      </c>
      <c r="B101" s="15">
        <v>643056.72868755413</v>
      </c>
      <c r="C101" s="15">
        <v>31717.361312445835</v>
      </c>
    </row>
    <row r="102" spans="1:3">
      <c r="A102" s="15">
        <v>73</v>
      </c>
      <c r="B102" s="15">
        <v>616148.57014649548</v>
      </c>
      <c r="C102" s="15">
        <v>-79.160146495443769</v>
      </c>
    </row>
    <row r="103" spans="1:3">
      <c r="A103" s="15">
        <v>74</v>
      </c>
      <c r="B103" s="15">
        <v>695253.29918525857</v>
      </c>
      <c r="C103" s="15">
        <v>-64423.359185258625</v>
      </c>
    </row>
    <row r="104" spans="1:3">
      <c r="A104" s="15">
        <v>75</v>
      </c>
      <c r="B104" s="15">
        <v>729444.53800511709</v>
      </c>
      <c r="C104" s="15">
        <v>58643.141994882957</v>
      </c>
    </row>
    <row r="105" spans="1:3">
      <c r="A105" s="15">
        <v>76</v>
      </c>
      <c r="B105" s="15">
        <v>731962.05206829251</v>
      </c>
      <c r="C105" s="15">
        <v>-51121.692068292527</v>
      </c>
    </row>
    <row r="106" spans="1:3">
      <c r="A106" s="15">
        <v>77</v>
      </c>
      <c r="B106" s="15">
        <v>654787.26813417871</v>
      </c>
      <c r="C106" s="15">
        <v>-11129.798134178738</v>
      </c>
    </row>
    <row r="107" spans="1:3">
      <c r="A107" s="15">
        <v>78</v>
      </c>
      <c r="B107" s="15">
        <v>665141.52944330045</v>
      </c>
      <c r="C107" s="15">
        <v>25971.070556699531</v>
      </c>
    </row>
    <row r="108" spans="1:3">
      <c r="A108" s="15">
        <v>79</v>
      </c>
      <c r="B108" s="15">
        <v>742093.23068749299</v>
      </c>
      <c r="C108" s="15">
        <v>34828.939312507049</v>
      </c>
    </row>
    <row r="109" spans="1:3">
      <c r="A109" s="15">
        <v>80</v>
      </c>
      <c r="B109" s="15">
        <v>682058.17714561999</v>
      </c>
      <c r="C109" s="15">
        <v>-45496.837145620026</v>
      </c>
    </row>
    <row r="110" spans="1:3">
      <c r="A110" s="15">
        <v>81</v>
      </c>
      <c r="B110" s="15">
        <v>630544.33601276937</v>
      </c>
      <c r="C110" s="15">
        <v>-9174.756012769416</v>
      </c>
    </row>
    <row r="111" spans="1:3">
      <c r="A111" s="15">
        <v>82</v>
      </c>
      <c r="B111" s="15">
        <v>620412.41926813091</v>
      </c>
      <c r="C111" s="15">
        <v>61795.590731869102</v>
      </c>
    </row>
    <row r="112" spans="1:3">
      <c r="A112" s="15">
        <v>83</v>
      </c>
      <c r="B112" s="15">
        <v>635693.06534489675</v>
      </c>
      <c r="C112" s="15">
        <v>91548.794655103236</v>
      </c>
    </row>
    <row r="113" spans="1:3">
      <c r="A113" s="15">
        <v>84</v>
      </c>
      <c r="B113" s="15">
        <v>549034.1869106025</v>
      </c>
      <c r="C113" s="15">
        <v>20066.593089397531</v>
      </c>
    </row>
    <row r="114" spans="1:3">
      <c r="A114" s="15">
        <v>85</v>
      </c>
      <c r="B114" s="15">
        <v>544047.28986286174</v>
      </c>
      <c r="C114" s="15">
        <v>30389.000137138297</v>
      </c>
    </row>
    <row r="115" spans="1:3">
      <c r="A115" s="15">
        <v>86</v>
      </c>
      <c r="B115" s="15">
        <v>637308.71716430469</v>
      </c>
      <c r="C115" s="15">
        <v>-25541.997164304717</v>
      </c>
    </row>
    <row r="116" spans="1:3">
      <c r="A116" s="15">
        <v>87</v>
      </c>
      <c r="B116" s="15">
        <v>580555.72902149125</v>
      </c>
      <c r="C116" s="15">
        <v>34040.590978508699</v>
      </c>
    </row>
    <row r="117" spans="1:3">
      <c r="A117" s="15">
        <v>88</v>
      </c>
      <c r="B117" s="15">
        <v>450256.14489964355</v>
      </c>
      <c r="C117" s="15">
        <v>455.77510035643354</v>
      </c>
    </row>
    <row r="118" spans="1:3">
      <c r="A118" s="15">
        <v>89</v>
      </c>
      <c r="B118" s="15">
        <v>666379.40394612541</v>
      </c>
      <c r="C118" s="15">
        <v>44834.056053874549</v>
      </c>
    </row>
    <row r="119" spans="1:3">
      <c r="A119" s="15">
        <v>90</v>
      </c>
      <c r="B119" s="15">
        <v>750606.66963237058</v>
      </c>
      <c r="C119" s="15">
        <v>-123434.76963237056</v>
      </c>
    </row>
    <row r="120" spans="1:3">
      <c r="A120" s="15">
        <v>91</v>
      </c>
      <c r="B120" s="15">
        <v>708487.58048604417</v>
      </c>
      <c r="C120" s="15">
        <v>31364.999513955787</v>
      </c>
    </row>
    <row r="121" spans="1:3">
      <c r="A121" s="15">
        <v>92</v>
      </c>
      <c r="B121" s="15">
        <v>565301.14448199584</v>
      </c>
      <c r="C121" s="15">
        <v>21006.075518004131</v>
      </c>
    </row>
    <row r="122" spans="1:3">
      <c r="A122" s="15">
        <v>93</v>
      </c>
      <c r="B122" s="15">
        <v>601349.90723657131</v>
      </c>
      <c r="C122" s="15">
        <v>-15412.427236571326</v>
      </c>
    </row>
    <row r="123" spans="1:3">
      <c r="A123" s="15">
        <v>94</v>
      </c>
      <c r="B123" s="15">
        <v>704868.99749247578</v>
      </c>
      <c r="C123" s="15">
        <v>48604.552507524262</v>
      </c>
    </row>
    <row r="124" spans="1:3">
      <c r="A124" s="15">
        <v>95</v>
      </c>
      <c r="B124" s="15">
        <v>781473.22995887022</v>
      </c>
      <c r="C124" s="15">
        <v>56777.090041129733</v>
      </c>
    </row>
    <row r="125" spans="1:3">
      <c r="A125" s="15">
        <v>96</v>
      </c>
      <c r="B125" s="15">
        <v>618443.63136166101</v>
      </c>
      <c r="C125" s="15">
        <v>-10545.511361661018</v>
      </c>
    </row>
    <row r="126" spans="1:3">
      <c r="A126" s="15">
        <v>97</v>
      </c>
      <c r="B126" s="15">
        <v>643368.57749930606</v>
      </c>
      <c r="C126" s="15">
        <v>47745.042500693933</v>
      </c>
    </row>
    <row r="127" spans="1:3">
      <c r="A127" s="15">
        <v>98</v>
      </c>
      <c r="B127" s="15">
        <v>642241.32831547922</v>
      </c>
      <c r="C127" s="15">
        <v>93268.071684520808</v>
      </c>
    </row>
    <row r="128" spans="1:3">
      <c r="A128" s="15">
        <v>99</v>
      </c>
      <c r="B128" s="15">
        <v>602579.51219574374</v>
      </c>
      <c r="C128" s="15">
        <v>3195.8178042562213</v>
      </c>
    </row>
    <row r="129" spans="1:3">
      <c r="A129" s="15">
        <v>100</v>
      </c>
      <c r="B129" s="15">
        <v>647063.4800708663</v>
      </c>
      <c r="C129" s="15">
        <v>28114.199929133756</v>
      </c>
    </row>
    <row r="130" spans="1:3">
      <c r="A130" s="15">
        <v>101</v>
      </c>
      <c r="B130" s="15">
        <v>597842.64741279464</v>
      </c>
      <c r="C130" s="15">
        <v>37338.702587205335</v>
      </c>
    </row>
    <row r="131" spans="1:3">
      <c r="A131" s="15">
        <v>102</v>
      </c>
      <c r="B131" s="15">
        <v>609627.34727823362</v>
      </c>
      <c r="C131" s="15">
        <v>-23000.407278233673</v>
      </c>
    </row>
    <row r="132" spans="1:3">
      <c r="A132" s="15">
        <v>103</v>
      </c>
      <c r="B132" s="15">
        <v>716457.64757901337</v>
      </c>
      <c r="C132" s="15">
        <v>23644.992420986644</v>
      </c>
    </row>
    <row r="133" spans="1:3">
      <c r="A133" s="15">
        <v>104</v>
      </c>
      <c r="B133" s="15">
        <v>529862.56500325911</v>
      </c>
      <c r="C133" s="15">
        <v>95651.47499674093</v>
      </c>
    </row>
    <row r="134" spans="1:3">
      <c r="A134" s="15">
        <v>105</v>
      </c>
      <c r="B134" s="15">
        <v>694925.32065114821</v>
      </c>
      <c r="C134" s="15">
        <v>32301.87934885174</v>
      </c>
    </row>
    <row r="135" spans="1:3">
      <c r="A135" s="15">
        <v>106</v>
      </c>
      <c r="B135" s="15">
        <v>788589.48575728398</v>
      </c>
      <c r="C135" s="15">
        <v>-4791.5957572839689</v>
      </c>
    </row>
    <row r="136" spans="1:3">
      <c r="A136" s="15">
        <v>107</v>
      </c>
      <c r="B136" s="15">
        <v>731392.36010080413</v>
      </c>
      <c r="C136" s="15">
        <v>63761.479899195838</v>
      </c>
    </row>
    <row r="137" spans="1:3">
      <c r="A137" s="15">
        <v>108</v>
      </c>
      <c r="B137" s="15">
        <v>637261.10319253325</v>
      </c>
      <c r="C137" s="15">
        <v>28333.836807466694</v>
      </c>
    </row>
    <row r="138" spans="1:3">
      <c r="A138" s="15">
        <v>109</v>
      </c>
      <c r="B138" s="15">
        <v>668075.3928995668</v>
      </c>
      <c r="C138" s="15">
        <v>41402.997100433218</v>
      </c>
    </row>
    <row r="139" spans="1:3">
      <c r="A139" s="15">
        <v>110</v>
      </c>
      <c r="B139" s="15">
        <v>646972.69770978042</v>
      </c>
      <c r="C139" s="15">
        <v>17189.792290219571</v>
      </c>
    </row>
    <row r="140" spans="1:3">
      <c r="A140" s="15">
        <v>111</v>
      </c>
      <c r="B140" s="15">
        <v>656695.08068345499</v>
      </c>
      <c r="C140" s="15">
        <v>-23200.870683455025</v>
      </c>
    </row>
    <row r="141" spans="1:3">
      <c r="A141" s="15">
        <v>112</v>
      </c>
      <c r="B141" s="15">
        <v>610411.61841436732</v>
      </c>
      <c r="C141" s="15">
        <v>103199.54158563272</v>
      </c>
    </row>
    <row r="142" spans="1:3">
      <c r="A142" s="15">
        <v>113</v>
      </c>
      <c r="B142" s="15">
        <v>741057.30933024094</v>
      </c>
      <c r="C142" s="15">
        <v>37340.660669759032</v>
      </c>
    </row>
    <row r="143" spans="1:3">
      <c r="A143" s="15">
        <v>114</v>
      </c>
      <c r="B143" s="15">
        <v>828357.03112003685</v>
      </c>
      <c r="C143" s="15">
        <v>45022.988879963174</v>
      </c>
    </row>
    <row r="144" spans="1:3">
      <c r="A144" s="15">
        <v>115</v>
      </c>
      <c r="B144" s="15">
        <v>737092.52334777685</v>
      </c>
      <c r="C144" s="15">
        <v>-39804.623347776826</v>
      </c>
    </row>
    <row r="145" spans="1:3">
      <c r="A145" s="15">
        <v>116</v>
      </c>
      <c r="B145" s="15">
        <v>739281.25587504485</v>
      </c>
      <c r="C145" s="15">
        <v>-21206.465875044814</v>
      </c>
    </row>
    <row r="146" spans="1:3">
      <c r="A146" s="15">
        <v>117</v>
      </c>
      <c r="B146" s="15">
        <v>719328.23400181846</v>
      </c>
      <c r="C146" s="15">
        <v>-4385.8040018184111</v>
      </c>
    </row>
    <row r="147" spans="1:3">
      <c r="A147" s="15">
        <v>118</v>
      </c>
      <c r="B147" s="15">
        <v>739094.55165247351</v>
      </c>
      <c r="C147" s="15">
        <v>81424.488347526523</v>
      </c>
    </row>
    <row r="148" spans="1:3">
      <c r="A148" s="15">
        <v>119</v>
      </c>
      <c r="B148" s="15">
        <v>722148.40549535921</v>
      </c>
      <c r="C148" s="15">
        <v>-37931.085495359264</v>
      </c>
    </row>
    <row r="149" spans="1:3">
      <c r="A149" s="15">
        <v>120</v>
      </c>
      <c r="B149" s="15">
        <v>730994.6115659218</v>
      </c>
      <c r="C149" s="15">
        <v>4485.5784340781393</v>
      </c>
    </row>
    <row r="150" spans="1:3">
      <c r="A150" s="15">
        <v>121</v>
      </c>
      <c r="B150" s="15">
        <v>550440.32910503563</v>
      </c>
      <c r="C150" s="15">
        <v>-40955.519105035637</v>
      </c>
    </row>
    <row r="151" spans="1:3">
      <c r="A151" s="15">
        <v>122</v>
      </c>
      <c r="B151" s="15">
        <v>623888.8388517875</v>
      </c>
      <c r="C151" s="15">
        <v>30428.251148212468</v>
      </c>
    </row>
    <row r="152" spans="1:3">
      <c r="A152" s="15">
        <v>123</v>
      </c>
      <c r="B152" s="15">
        <v>596915.25364962232</v>
      </c>
      <c r="C152" s="15">
        <v>-39427.993649622309</v>
      </c>
    </row>
    <row r="153" spans="1:3">
      <c r="A153" s="15">
        <v>124</v>
      </c>
      <c r="B153" s="15">
        <v>472178.9962644527</v>
      </c>
      <c r="C153" s="15">
        <v>-30903.576264452713</v>
      </c>
    </row>
    <row r="154" spans="1:3">
      <c r="A154" s="15">
        <v>125</v>
      </c>
      <c r="B154" s="15">
        <v>830748.04399807053</v>
      </c>
      <c r="C154" s="15">
        <v>83796.126001929515</v>
      </c>
    </row>
    <row r="155" spans="1:3">
      <c r="A155" s="15">
        <v>126</v>
      </c>
      <c r="B155" s="15">
        <v>868063.92587165476</v>
      </c>
      <c r="C155" s="15">
        <v>-25624.255871654721</v>
      </c>
    </row>
    <row r="156" spans="1:3">
      <c r="A156" s="15">
        <v>127</v>
      </c>
      <c r="B156" s="15">
        <v>788681.2845979071</v>
      </c>
      <c r="C156" s="15">
        <v>53476.635402092943</v>
      </c>
    </row>
    <row r="157" spans="1:3">
      <c r="A157" s="15">
        <v>128</v>
      </c>
      <c r="B157" s="15">
        <v>707554.51422487537</v>
      </c>
      <c r="C157" s="15">
        <v>-10399.214224875323</v>
      </c>
    </row>
    <row r="158" spans="1:3">
      <c r="A158" s="15">
        <v>129</v>
      </c>
      <c r="B158" s="15">
        <v>836449.11578144843</v>
      </c>
      <c r="C158" s="15">
        <v>12569.184218551614</v>
      </c>
    </row>
    <row r="159" spans="1:3">
      <c r="A159" s="15">
        <v>130</v>
      </c>
      <c r="B159" s="15">
        <v>820315.25311885658</v>
      </c>
      <c r="C159" s="15">
        <v>-18484.9031188566</v>
      </c>
    </row>
    <row r="160" spans="1:3">
      <c r="A160" s="15">
        <v>131</v>
      </c>
      <c r="B160" s="15">
        <v>788594.8256446881</v>
      </c>
      <c r="C160" s="15">
        <v>-63359.545644688071</v>
      </c>
    </row>
    <row r="161" spans="1:3">
      <c r="A161" s="15">
        <v>132</v>
      </c>
      <c r="B161" s="15">
        <v>809661.32175575697</v>
      </c>
      <c r="C161" s="15">
        <v>1791.3982442429988</v>
      </c>
    </row>
    <row r="162" spans="1:3">
      <c r="A162" s="15">
        <v>133</v>
      </c>
      <c r="B162" s="15">
        <v>577801.70212259097</v>
      </c>
      <c r="C162" s="15">
        <v>-50501.572122590966</v>
      </c>
    </row>
    <row r="163" spans="1:3">
      <c r="A163" s="15">
        <v>134</v>
      </c>
      <c r="B163" s="15">
        <v>467354.47273752041</v>
      </c>
      <c r="C163" s="15">
        <v>-66522.822737520386</v>
      </c>
    </row>
    <row r="164" spans="1:3">
      <c r="A164" s="15">
        <v>135</v>
      </c>
      <c r="B164" s="15">
        <v>593754.52340715379</v>
      </c>
      <c r="C164" s="15">
        <v>-507.27340715378523</v>
      </c>
    </row>
    <row r="165" spans="1:3">
      <c r="A165" s="15">
        <v>136</v>
      </c>
      <c r="B165" s="15">
        <v>548726.65312826005</v>
      </c>
      <c r="C165" s="15">
        <v>-19650.703128260095</v>
      </c>
    </row>
    <row r="166" spans="1:3">
      <c r="A166" s="15">
        <v>137</v>
      </c>
      <c r="B166" s="15">
        <v>726469.46192369098</v>
      </c>
      <c r="C166" s="15">
        <v>-92831.43192369095</v>
      </c>
    </row>
    <row r="167" spans="1:3">
      <c r="A167" s="15">
        <v>138</v>
      </c>
      <c r="B167" s="15">
        <v>717016.85371716798</v>
      </c>
      <c r="C167" s="15">
        <v>26331.986282831989</v>
      </c>
    </row>
    <row r="168" spans="1:3">
      <c r="A168" s="15">
        <v>139</v>
      </c>
      <c r="B168" s="15">
        <v>721731.8512501216</v>
      </c>
      <c r="C168" s="15">
        <v>37095.788749878411</v>
      </c>
    </row>
    <row r="169" spans="1:3">
      <c r="A169" s="15">
        <v>140</v>
      </c>
      <c r="B169" s="15">
        <v>648267.35886465875</v>
      </c>
      <c r="C169" s="15">
        <v>-1707.6488646587823</v>
      </c>
    </row>
    <row r="170" spans="1:3">
      <c r="A170" s="15">
        <v>141</v>
      </c>
      <c r="B170" s="15">
        <v>680092.67388986587</v>
      </c>
      <c r="C170" s="15">
        <v>35797.856110134162</v>
      </c>
    </row>
    <row r="171" spans="1:3">
      <c r="A171" s="15">
        <v>142</v>
      </c>
      <c r="B171" s="15">
        <v>691987.04312940652</v>
      </c>
      <c r="C171" s="15">
        <v>23110.526870593429</v>
      </c>
    </row>
    <row r="172" spans="1:3">
      <c r="A172" s="15">
        <v>143</v>
      </c>
      <c r="B172" s="15">
        <v>637448.14383003279</v>
      </c>
      <c r="C172" s="15">
        <v>45191.136169967242</v>
      </c>
    </row>
    <row r="173" spans="1:3">
      <c r="A173" s="15">
        <v>144</v>
      </c>
      <c r="B173" s="15">
        <v>656728.56553704443</v>
      </c>
      <c r="C173" s="15">
        <v>38369.94446295558</v>
      </c>
    </row>
    <row r="174" spans="1:3">
      <c r="A174" s="15">
        <v>145</v>
      </c>
      <c r="B174" s="15">
        <v>627794.46327941178</v>
      </c>
      <c r="C174" s="15">
        <v>-50061.89327941183</v>
      </c>
    </row>
    <row r="175" spans="1:3">
      <c r="A175" s="15">
        <v>146</v>
      </c>
      <c r="B175" s="15">
        <v>555090.89799860818</v>
      </c>
      <c r="C175" s="15">
        <v>-18032.567998608225</v>
      </c>
    </row>
    <row r="176" spans="1:3">
      <c r="A176" s="15">
        <v>147</v>
      </c>
      <c r="B176" s="15">
        <v>608875.56498226826</v>
      </c>
      <c r="C176" s="15">
        <v>-7306.6949822682654</v>
      </c>
    </row>
    <row r="177" spans="1:3">
      <c r="A177" s="15">
        <v>148</v>
      </c>
      <c r="B177" s="15">
        <v>577437.72922814882</v>
      </c>
      <c r="C177" s="15">
        <v>-6472.8892281488515</v>
      </c>
    </row>
    <row r="178" spans="1:3">
      <c r="A178" s="15">
        <v>149</v>
      </c>
      <c r="B178" s="15">
        <v>598713.11857660289</v>
      </c>
      <c r="C178" s="15">
        <v>15311.791423397139</v>
      </c>
    </row>
    <row r="179" spans="1:3">
      <c r="A179" s="15">
        <v>150</v>
      </c>
      <c r="B179" s="15">
        <v>702419.00346372928</v>
      </c>
      <c r="C179" s="15">
        <v>10449.346536270692</v>
      </c>
    </row>
    <row r="180" spans="1:3">
      <c r="A180" s="15">
        <v>151</v>
      </c>
      <c r="B180" s="15">
        <v>670661.86547673214</v>
      </c>
      <c r="C180" s="15">
        <v>26082.284523267881</v>
      </c>
    </row>
    <row r="181" spans="1:3">
      <c r="A181" s="15">
        <v>152</v>
      </c>
      <c r="B181" s="15">
        <v>707080.57045569224</v>
      </c>
      <c r="C181" s="15">
        <v>18767.419544307748</v>
      </c>
    </row>
    <row r="182" spans="1:3">
      <c r="A182" s="15">
        <v>153</v>
      </c>
      <c r="B182" s="15">
        <v>815987.24225826655</v>
      </c>
      <c r="C182" s="15">
        <v>-30958.992258266546</v>
      </c>
    </row>
    <row r="183" spans="1:3">
      <c r="A183" s="15">
        <v>154</v>
      </c>
      <c r="B183" s="15">
        <v>697207.9465298471</v>
      </c>
      <c r="C183" s="15">
        <v>1284.7234701529378</v>
      </c>
    </row>
    <row r="184" spans="1:3">
      <c r="A184" s="15">
        <v>155</v>
      </c>
      <c r="B184" s="15">
        <v>737099.17381450278</v>
      </c>
      <c r="C184" s="15">
        <v>-51268.933814502787</v>
      </c>
    </row>
    <row r="185" spans="1:3">
      <c r="A185" s="15">
        <v>156</v>
      </c>
      <c r="B185" s="15">
        <v>716856.39336310665</v>
      </c>
      <c r="C185" s="15">
        <v>-14537.453363106702</v>
      </c>
    </row>
    <row r="186" spans="1:3">
      <c r="A186" s="15">
        <v>157</v>
      </c>
      <c r="B186" s="15">
        <v>705873.11833099101</v>
      </c>
      <c r="C186" s="15">
        <v>-5794.7983309910633</v>
      </c>
    </row>
    <row r="187" spans="1:3">
      <c r="A187" s="15">
        <v>158</v>
      </c>
      <c r="B187" s="15">
        <v>621727.58946689626</v>
      </c>
      <c r="C187" s="15">
        <v>-19725.269466896309</v>
      </c>
    </row>
    <row r="188" spans="1:3">
      <c r="A188" s="15">
        <v>159</v>
      </c>
      <c r="B188" s="15">
        <v>666102.61054592277</v>
      </c>
      <c r="C188" s="15">
        <v>58113.45945407718</v>
      </c>
    </row>
    <row r="189" spans="1:3">
      <c r="A189" s="15">
        <v>160</v>
      </c>
      <c r="B189" s="15">
        <v>558410.19003772805</v>
      </c>
      <c r="C189" s="15">
        <v>62562.839962271973</v>
      </c>
    </row>
    <row r="190" spans="1:3">
      <c r="A190" s="15">
        <v>161</v>
      </c>
      <c r="B190" s="15">
        <v>708569.36828384514</v>
      </c>
      <c r="C190" s="15">
        <v>-58089.308283845079</v>
      </c>
    </row>
    <row r="191" spans="1:3">
      <c r="A191" s="15">
        <v>162</v>
      </c>
      <c r="B191" s="15">
        <v>703136.93560242257</v>
      </c>
      <c r="C191" s="15">
        <v>75161.944397577434</v>
      </c>
    </row>
    <row r="192" spans="1:3">
      <c r="A192" s="15">
        <v>163</v>
      </c>
      <c r="B192" s="15">
        <v>698380.65988107771</v>
      </c>
      <c r="C192" s="15">
        <v>-21283.949881077744</v>
      </c>
    </row>
    <row r="193" spans="1:3">
      <c r="A193" s="15">
        <v>164</v>
      </c>
      <c r="B193" s="15">
        <v>712848.70224381133</v>
      </c>
      <c r="C193" s="15">
        <v>-20840.062243811321</v>
      </c>
    </row>
    <row r="194" spans="1:3">
      <c r="A194" s="15">
        <v>165</v>
      </c>
      <c r="B194" s="15">
        <v>755232.15286461334</v>
      </c>
      <c r="C194" s="15">
        <v>70565.757135386695</v>
      </c>
    </row>
    <row r="195" spans="1:3">
      <c r="A195" s="15">
        <v>166</v>
      </c>
      <c r="B195" s="15">
        <v>707746.56206172518</v>
      </c>
      <c r="C195" s="15">
        <v>-1461.0420617251657</v>
      </c>
    </row>
    <row r="196" spans="1:3">
      <c r="A196" s="15">
        <v>167</v>
      </c>
      <c r="B196" s="15">
        <v>668679.79651754606</v>
      </c>
      <c r="C196" s="15">
        <v>-3145.0965175461024</v>
      </c>
    </row>
    <row r="197" spans="1:3">
      <c r="A197" s="15">
        <v>168</v>
      </c>
      <c r="B197" s="15">
        <v>794999.42695560621</v>
      </c>
      <c r="C197" s="15">
        <v>25729.863044393831</v>
      </c>
    </row>
    <row r="198" spans="1:3">
      <c r="A198" s="15">
        <v>169</v>
      </c>
      <c r="B198" s="15">
        <v>753576.58625031798</v>
      </c>
      <c r="C198" s="15">
        <v>-13744.856250318</v>
      </c>
    </row>
    <row r="199" spans="1:3">
      <c r="A199" s="15">
        <v>170</v>
      </c>
      <c r="B199" s="15">
        <v>675236.18041160179</v>
      </c>
      <c r="C199" s="15">
        <v>-81599.040411601774</v>
      </c>
    </row>
    <row r="200" spans="1:3">
      <c r="A200" s="15">
        <v>171</v>
      </c>
      <c r="B200" s="15">
        <v>732620.8995217866</v>
      </c>
      <c r="C200" s="15">
        <v>37081.860478213406</v>
      </c>
    </row>
    <row r="201" spans="1:3">
      <c r="A201" s="15">
        <v>172</v>
      </c>
      <c r="B201" s="15">
        <v>708706.3224990298</v>
      </c>
      <c r="C201" s="15">
        <v>-28974.752499029855</v>
      </c>
    </row>
    <row r="202" spans="1:3">
      <c r="A202" s="15">
        <v>173</v>
      </c>
      <c r="B202" s="15">
        <v>774756.70358465915</v>
      </c>
      <c r="C202" s="15">
        <v>5587.4764153409051</v>
      </c>
    </row>
    <row r="203" spans="1:3">
      <c r="A203" s="15">
        <v>174</v>
      </c>
      <c r="B203" s="15">
        <v>770362.57046922296</v>
      </c>
      <c r="C203" s="15">
        <v>-48998.460469222977</v>
      </c>
    </row>
    <row r="204" spans="1:3">
      <c r="A204" s="15">
        <v>175</v>
      </c>
      <c r="B204" s="15">
        <v>776531.5115814259</v>
      </c>
      <c r="C204" s="15">
        <v>-18393.221581425867</v>
      </c>
    </row>
    <row r="205" spans="1:3">
      <c r="A205" s="15">
        <v>176</v>
      </c>
      <c r="B205" s="15">
        <v>837165.52378313127</v>
      </c>
      <c r="C205" s="15">
        <v>-32901.52378313127</v>
      </c>
    </row>
    <row r="206" spans="1:3">
      <c r="A206" s="15">
        <v>177</v>
      </c>
      <c r="B206" s="15">
        <v>855645.17527215253</v>
      </c>
      <c r="C206" s="15">
        <v>31892.574727847474</v>
      </c>
    </row>
    <row r="207" spans="1:3">
      <c r="A207" s="15">
        <v>178</v>
      </c>
      <c r="B207" s="15">
        <v>689960.82008680038</v>
      </c>
      <c r="C207" s="15">
        <v>93621.179913199623</v>
      </c>
    </row>
    <row r="208" spans="1:3">
      <c r="A208" s="15">
        <v>179</v>
      </c>
      <c r="B208" s="15">
        <v>744346.37295213179</v>
      </c>
      <c r="C208" s="15">
        <v>37609.147047868231</v>
      </c>
    </row>
    <row r="209" spans="1:3">
      <c r="A209" s="15">
        <v>180</v>
      </c>
      <c r="B209" s="15">
        <v>809018.80221038067</v>
      </c>
      <c r="C209" s="15">
        <v>89012.237789619365</v>
      </c>
    </row>
    <row r="210" spans="1:3">
      <c r="A210" s="15">
        <v>181</v>
      </c>
      <c r="B210" s="15">
        <v>848657.92482355225</v>
      </c>
      <c r="C210" s="15">
        <v>6683.3551764477743</v>
      </c>
    </row>
    <row r="211" spans="1:3">
      <c r="A211" s="15">
        <v>182</v>
      </c>
      <c r="B211" s="15">
        <v>726431.01103621337</v>
      </c>
      <c r="C211" s="15">
        <v>24962.868963786634</v>
      </c>
    </row>
    <row r="212" spans="1:3">
      <c r="A212" s="15">
        <v>183</v>
      </c>
      <c r="B212" s="15">
        <v>772651.70547884784</v>
      </c>
      <c r="C212" s="15">
        <v>-11574.625478847884</v>
      </c>
    </row>
    <row r="213" spans="1:3">
      <c r="A213" s="15">
        <v>184</v>
      </c>
      <c r="B213" s="15">
        <v>827659.73457631923</v>
      </c>
      <c r="C213" s="15">
        <v>-7999.1445763192605</v>
      </c>
    </row>
    <row r="214" spans="1:3">
      <c r="A214" s="15">
        <v>185</v>
      </c>
      <c r="B214" s="15">
        <v>702926.15979394736</v>
      </c>
      <c r="C214" s="15">
        <v>-21070.599793947302</v>
      </c>
    </row>
    <row r="215" spans="1:3">
      <c r="A215" s="15">
        <v>186</v>
      </c>
      <c r="B215" s="15">
        <v>644695.78228690068</v>
      </c>
      <c r="C215" s="15">
        <v>33615.387713099364</v>
      </c>
    </row>
    <row r="216" spans="1:3">
      <c r="A216" s="15">
        <v>187</v>
      </c>
      <c r="B216" s="15">
        <v>709335.72380512534</v>
      </c>
      <c r="C216" s="15">
        <v>56571.226194874616</v>
      </c>
    </row>
    <row r="217" spans="1:3">
      <c r="A217" s="15">
        <v>188</v>
      </c>
      <c r="B217" s="15">
        <v>679395.95020597707</v>
      </c>
      <c r="C217" s="15">
        <v>33150.42979402293</v>
      </c>
    </row>
    <row r="218" spans="1:3">
      <c r="A218" s="15">
        <v>189</v>
      </c>
      <c r="B218" s="15">
        <v>579223.02076836152</v>
      </c>
      <c r="C218" s="15">
        <v>46770.809231638443</v>
      </c>
    </row>
    <row r="219" spans="1:3">
      <c r="A219" s="15">
        <v>190</v>
      </c>
      <c r="B219" s="15">
        <v>550720.78423045657</v>
      </c>
      <c r="C219" s="15">
        <v>242.14576954348013</v>
      </c>
    </row>
    <row r="220" spans="1:3">
      <c r="A220" s="15">
        <v>191</v>
      </c>
      <c r="B220" s="15">
        <v>465069.36895076308</v>
      </c>
      <c r="C220" s="15">
        <v>-21793.778950763051</v>
      </c>
    </row>
    <row r="221" spans="1:3">
      <c r="A221" s="15">
        <v>192</v>
      </c>
      <c r="B221" s="15">
        <v>618310.08909140015</v>
      </c>
      <c r="C221" s="15">
        <v>-64298.019091400201</v>
      </c>
    </row>
    <row r="222" spans="1:3">
      <c r="A222" s="15">
        <v>193</v>
      </c>
      <c r="B222" s="15">
        <v>706557.80069335748</v>
      </c>
      <c r="C222" s="15">
        <v>-63128.950693357503</v>
      </c>
    </row>
    <row r="223" spans="1:3">
      <c r="A223" s="15">
        <v>194</v>
      </c>
      <c r="B223" s="15">
        <v>633971.62668737967</v>
      </c>
      <c r="C223" s="15">
        <v>-22047.356687379652</v>
      </c>
    </row>
    <row r="224" spans="1:3">
      <c r="A224" s="15">
        <v>195</v>
      </c>
      <c r="B224" s="15">
        <v>563396.78691225371</v>
      </c>
      <c r="C224" s="15">
        <v>-3974.76691225369</v>
      </c>
    </row>
    <row r="225" spans="1:3">
      <c r="A225" s="15">
        <v>196</v>
      </c>
      <c r="B225" s="15">
        <v>511672.56993264816</v>
      </c>
      <c r="C225" s="15">
        <v>-62207.509932648158</v>
      </c>
    </row>
    <row r="226" spans="1:3">
      <c r="A226" s="15">
        <v>197</v>
      </c>
      <c r="B226" s="15">
        <v>659869.91446250456</v>
      </c>
      <c r="C226" s="15">
        <v>31577.515537495492</v>
      </c>
    </row>
    <row r="227" spans="1:3">
      <c r="A227" s="15">
        <v>198</v>
      </c>
      <c r="B227" s="15">
        <v>584852.16557917336</v>
      </c>
      <c r="C227" s="15">
        <v>-10785.555579173379</v>
      </c>
    </row>
    <row r="228" spans="1:3">
      <c r="A228" s="15">
        <v>199</v>
      </c>
      <c r="B228" s="15">
        <v>624121.55000744388</v>
      </c>
      <c r="C228" s="15">
        <v>-45171.710007443908</v>
      </c>
    </row>
    <row r="229" spans="1:3">
      <c r="A229" s="15">
        <v>200</v>
      </c>
      <c r="B229" s="15">
        <v>664201.8391554961</v>
      </c>
      <c r="C229" s="15">
        <v>71584.800844503916</v>
      </c>
    </row>
    <row r="230" spans="1:3">
      <c r="A230" s="15">
        <v>201</v>
      </c>
      <c r="B230" s="15">
        <v>617148.92944183887</v>
      </c>
      <c r="C230" s="15">
        <v>-18244.029441838851</v>
      </c>
    </row>
    <row r="231" spans="1:3">
      <c r="A231" s="15">
        <v>202</v>
      </c>
      <c r="B231" s="15">
        <v>690465.55489703664</v>
      </c>
      <c r="C231" s="15">
        <v>97249.955102963373</v>
      </c>
    </row>
    <row r="232" spans="1:3">
      <c r="A232" s="15">
        <v>203</v>
      </c>
      <c r="B232" s="15">
        <v>631478.27082705428</v>
      </c>
      <c r="C232" s="15">
        <v>-24393.350827054237</v>
      </c>
    </row>
    <row r="233" spans="1:3">
      <c r="A233" s="15">
        <v>204</v>
      </c>
      <c r="B233" s="15">
        <v>681418.58936545288</v>
      </c>
      <c r="C233" s="15">
        <v>-30623.099365452887</v>
      </c>
    </row>
    <row r="234" spans="1:3">
      <c r="A234" s="15">
        <v>205</v>
      </c>
      <c r="B234" s="15">
        <v>847409.44894387992</v>
      </c>
      <c r="C234" s="15">
        <v>-22348.928943879902</v>
      </c>
    </row>
    <row r="235" spans="1:3">
      <c r="A235" s="15">
        <v>206</v>
      </c>
      <c r="B235" s="15">
        <v>747295.88531410566</v>
      </c>
      <c r="C235" s="15">
        <v>48168.584685894311</v>
      </c>
    </row>
    <row r="236" spans="1:3">
      <c r="A236" s="15">
        <v>207</v>
      </c>
      <c r="B236" s="15">
        <v>735249.28980414628</v>
      </c>
      <c r="C236" s="15">
        <v>-63380.699804146308</v>
      </c>
    </row>
    <row r="237" spans="1:3">
      <c r="A237" s="15">
        <v>208</v>
      </c>
      <c r="B237" s="15">
        <v>757773.36199546559</v>
      </c>
      <c r="C237" s="15">
        <v>-81855.731995465583</v>
      </c>
    </row>
    <row r="238" spans="1:3">
      <c r="A238" s="15">
        <v>209</v>
      </c>
      <c r="B238" s="15">
        <v>804907.45075156074</v>
      </c>
      <c r="C238" s="15">
        <v>5539.0792484392878</v>
      </c>
    </row>
    <row r="239" spans="1:3">
      <c r="A239" s="15">
        <v>210</v>
      </c>
      <c r="B239" s="15">
        <v>772216.69353666413</v>
      </c>
      <c r="C239" s="15">
        <v>-80928.503536664182</v>
      </c>
    </row>
    <row r="240" spans="1:3">
      <c r="A240" s="15">
        <v>211</v>
      </c>
      <c r="B240" s="15">
        <v>964424.35822278529</v>
      </c>
      <c r="C240" s="15">
        <v>-17590.818222785252</v>
      </c>
    </row>
    <row r="241" spans="1:3">
      <c r="A241" s="15">
        <v>212</v>
      </c>
      <c r="B241" s="15">
        <v>751297.80735359632</v>
      </c>
      <c r="C241" s="15">
        <v>10665.422646403662</v>
      </c>
    </row>
    <row r="242" spans="1:3">
      <c r="A242" s="15">
        <v>213</v>
      </c>
      <c r="B242" s="15">
        <v>779967.76305327343</v>
      </c>
      <c r="C242" s="15">
        <v>32184.836946726544</v>
      </c>
    </row>
    <row r="243" spans="1:3">
      <c r="A243" s="15">
        <v>214</v>
      </c>
      <c r="B243" s="15">
        <v>767199.15634337661</v>
      </c>
      <c r="C243" s="15">
        <v>37776.343656623387</v>
      </c>
    </row>
    <row r="244" spans="1:3">
      <c r="A244" s="15">
        <v>215</v>
      </c>
      <c r="B244" s="15">
        <v>760932.04149226157</v>
      </c>
      <c r="C244" s="15">
        <v>-8610.3214922616025</v>
      </c>
    </row>
    <row r="245" spans="1:3">
      <c r="A245" s="15">
        <v>216</v>
      </c>
      <c r="B245" s="15">
        <v>830826.9999880126</v>
      </c>
      <c r="C245" s="15">
        <v>6081.2400119873928</v>
      </c>
    </row>
    <row r="246" spans="1:3">
      <c r="A246" s="15">
        <v>217</v>
      </c>
      <c r="B246" s="15">
        <v>642739.87318537489</v>
      </c>
      <c r="C246" s="15">
        <v>31549.226814625086</v>
      </c>
    </row>
    <row r="247" spans="1:3">
      <c r="A247" s="15">
        <v>218</v>
      </c>
      <c r="B247" s="15">
        <v>600356.38224983809</v>
      </c>
      <c r="C247" s="15">
        <v>22536.037750161951</v>
      </c>
    </row>
    <row r="248" spans="1:3">
      <c r="A248" s="15">
        <v>219</v>
      </c>
      <c r="B248" s="15">
        <v>625492.94534754683</v>
      </c>
      <c r="C248" s="15">
        <v>47855.614652453223</v>
      </c>
    </row>
    <row r="249" spans="1:3">
      <c r="A249" s="15">
        <v>220</v>
      </c>
      <c r="B249" s="15">
        <v>593309.71572091396</v>
      </c>
      <c r="C249" s="15">
        <v>12968.584279086092</v>
      </c>
    </row>
    <row r="250" spans="1:3">
      <c r="A250" s="15">
        <v>221</v>
      </c>
      <c r="B250" s="15">
        <v>700738.31351777329</v>
      </c>
      <c r="C250" s="15">
        <v>11481.496482226765</v>
      </c>
    </row>
    <row r="251" spans="1:3">
      <c r="A251" s="15">
        <v>222</v>
      </c>
      <c r="B251" s="15">
        <v>686596.25837648963</v>
      </c>
      <c r="C251" s="15">
        <v>-13925.718376489589</v>
      </c>
    </row>
    <row r="252" spans="1:3">
      <c r="A252" s="15">
        <v>223</v>
      </c>
      <c r="B252" s="15">
        <v>741590.65585258976</v>
      </c>
      <c r="C252" s="15">
        <v>-8922.7358525897143</v>
      </c>
    </row>
    <row r="253" spans="1:3">
      <c r="A253" s="15">
        <v>224</v>
      </c>
      <c r="B253" s="15">
        <v>755932.96404157695</v>
      </c>
      <c r="C253" s="15">
        <v>-32401.56404157693</v>
      </c>
    </row>
    <row r="254" spans="1:3">
      <c r="A254" s="15">
        <v>225</v>
      </c>
      <c r="B254" s="15">
        <v>615519.71674160671</v>
      </c>
      <c r="C254" s="15">
        <v>26044.883258393267</v>
      </c>
    </row>
    <row r="255" spans="1:3">
      <c r="A255" s="15">
        <v>226</v>
      </c>
      <c r="B255" s="15">
        <v>526471.60200952517</v>
      </c>
      <c r="C255" s="15">
        <v>10073.887990474817</v>
      </c>
    </row>
    <row r="256" spans="1:3">
      <c r="A256" s="15">
        <v>227</v>
      </c>
      <c r="B256" s="15">
        <v>525610.0703249108</v>
      </c>
      <c r="C256" s="15">
        <v>2071.4896750892513</v>
      </c>
    </row>
    <row r="257" spans="1:3">
      <c r="A257" s="15">
        <v>228</v>
      </c>
      <c r="B257" s="15">
        <v>500841.00540558825</v>
      </c>
      <c r="C257" s="15">
        <v>28757.934594411694</v>
      </c>
    </row>
    <row r="258" spans="1:3">
      <c r="A258" s="15">
        <v>229</v>
      </c>
      <c r="B258" s="15">
        <v>640069.35968767339</v>
      </c>
      <c r="C258" s="15">
        <v>-69106.049687673338</v>
      </c>
    </row>
    <row r="259" spans="1:3">
      <c r="A259" s="15">
        <v>230</v>
      </c>
      <c r="B259" s="15">
        <v>773039.77696324326</v>
      </c>
      <c r="C259" s="15">
        <v>97897.623036756762</v>
      </c>
    </row>
    <row r="260" spans="1:3">
      <c r="A260" s="15">
        <v>231</v>
      </c>
      <c r="B260" s="15">
        <v>644465.58792841772</v>
      </c>
      <c r="C260" s="15">
        <v>-47496.317928417702</v>
      </c>
    </row>
    <row r="261" spans="1:3">
      <c r="A261" s="15">
        <v>232</v>
      </c>
      <c r="B261" s="15">
        <v>628309.33851553767</v>
      </c>
      <c r="C261" s="15">
        <v>19203.511484462302</v>
      </c>
    </row>
    <row r="262" spans="1:3">
      <c r="A262" s="15">
        <v>233</v>
      </c>
      <c r="B262" s="15">
        <v>621147.47622766451</v>
      </c>
      <c r="C262" s="15">
        <v>36924.663772335509</v>
      </c>
    </row>
    <row r="263" spans="1:3">
      <c r="A263" s="15">
        <v>234</v>
      </c>
      <c r="B263" s="15">
        <v>652714.20198605489</v>
      </c>
      <c r="C263" s="15">
        <v>70590.908013945096</v>
      </c>
    </row>
    <row r="264" spans="1:3">
      <c r="A264" s="15">
        <v>235</v>
      </c>
      <c r="B264" s="15">
        <v>637920.47672423418</v>
      </c>
      <c r="C264" s="15">
        <v>2746.0532757658511</v>
      </c>
    </row>
    <row r="265" spans="1:3">
      <c r="A265" s="15">
        <v>236</v>
      </c>
      <c r="B265" s="15">
        <v>670863.54828167241</v>
      </c>
      <c r="C265" s="15">
        <v>-234.06828167242929</v>
      </c>
    </row>
    <row r="266" spans="1:3">
      <c r="A266" s="15">
        <v>237</v>
      </c>
      <c r="B266" s="15">
        <v>786162.11064255727</v>
      </c>
      <c r="C266" s="15">
        <v>-65082.760642557289</v>
      </c>
    </row>
    <row r="267" spans="1:3">
      <c r="A267" s="15">
        <v>238</v>
      </c>
      <c r="B267" s="15">
        <v>784494.67359123414</v>
      </c>
      <c r="C267" s="15">
        <v>25860.346408765879</v>
      </c>
    </row>
    <row r="268" spans="1:3">
      <c r="A268" s="15">
        <v>239</v>
      </c>
      <c r="B268" s="15">
        <v>759058.83421032643</v>
      </c>
      <c r="C268" s="15">
        <v>2860.4157896735705</v>
      </c>
    </row>
    <row r="269" spans="1:3">
      <c r="A269" s="15">
        <v>240</v>
      </c>
      <c r="B269" s="15">
        <v>721325.94732508622</v>
      </c>
      <c r="C269" s="15">
        <v>15744.23267491383</v>
      </c>
    </row>
    <row r="270" spans="1:3">
      <c r="A270" s="15">
        <v>241</v>
      </c>
      <c r="B270" s="15">
        <v>731235.44829106261</v>
      </c>
      <c r="C270" s="15">
        <v>45757.481708937441</v>
      </c>
    </row>
    <row r="271" spans="1:3">
      <c r="A271" s="15">
        <v>242</v>
      </c>
      <c r="B271" s="15">
        <v>647218.63912449323</v>
      </c>
      <c r="C271" s="15">
        <v>29118.770875506802</v>
      </c>
    </row>
    <row r="272" spans="1:3">
      <c r="A272" s="15">
        <v>243</v>
      </c>
      <c r="B272" s="15">
        <v>823172.74999099784</v>
      </c>
      <c r="C272" s="15">
        <v>5046.9200090022059</v>
      </c>
    </row>
    <row r="273" spans="1:3">
      <c r="A273" s="15">
        <v>244</v>
      </c>
      <c r="B273" s="15">
        <v>760084.80752675491</v>
      </c>
      <c r="C273" s="15">
        <v>3075.1124732451281</v>
      </c>
    </row>
    <row r="274" spans="1:3">
      <c r="A274" s="15">
        <v>245</v>
      </c>
      <c r="B274" s="15">
        <v>800935.8399969748</v>
      </c>
      <c r="C274" s="15">
        <v>1065.8400030252524</v>
      </c>
    </row>
    <row r="275" spans="1:3">
      <c r="A275" s="15">
        <v>246</v>
      </c>
      <c r="B275" s="15">
        <v>756668.37389048166</v>
      </c>
      <c r="C275" s="15">
        <v>-6197.033890481689</v>
      </c>
    </row>
    <row r="276" spans="1:3">
      <c r="A276" s="15">
        <v>247</v>
      </c>
      <c r="B276" s="15">
        <v>729416.48984336015</v>
      </c>
      <c r="C276" s="15">
        <v>-50185.629843360162</v>
      </c>
    </row>
    <row r="277" spans="1:3">
      <c r="A277" s="15">
        <v>248</v>
      </c>
      <c r="B277" s="15">
        <v>702974.49391270312</v>
      </c>
      <c r="C277" s="15">
        <v>-23085.753912703134</v>
      </c>
    </row>
    <row r="278" spans="1:3">
      <c r="A278" s="15">
        <v>249</v>
      </c>
      <c r="B278" s="15">
        <v>595321.61825720978</v>
      </c>
      <c r="C278" s="15">
        <v>11462.051742790267</v>
      </c>
    </row>
    <row r="279" spans="1:3">
      <c r="A279" s="15">
        <v>250</v>
      </c>
      <c r="B279" s="15">
        <v>651063.9561770669</v>
      </c>
      <c r="C279" s="15">
        <v>-8312.5361770668533</v>
      </c>
    </row>
    <row r="280" spans="1:3">
      <c r="A280" s="15">
        <v>251</v>
      </c>
      <c r="B280" s="15">
        <v>659506.66428545117</v>
      </c>
      <c r="C280" s="15">
        <v>-11552.884285451146</v>
      </c>
    </row>
    <row r="281" spans="1:3">
      <c r="A281" s="15">
        <v>252</v>
      </c>
      <c r="B281" s="15">
        <v>720563.02507653146</v>
      </c>
      <c r="C281" s="15">
        <v>8877.4249234684976</v>
      </c>
    </row>
    <row r="282" spans="1:3">
      <c r="A282" s="15">
        <v>253</v>
      </c>
      <c r="B282" s="15">
        <v>744788.02181751328</v>
      </c>
      <c r="C282" s="15">
        <v>20160.978182486724</v>
      </c>
    </row>
    <row r="283" spans="1:3">
      <c r="A283" s="15">
        <v>254</v>
      </c>
      <c r="B283" s="15">
        <v>709486.56778224884</v>
      </c>
      <c r="C283" s="15">
        <v>89560.372217751108</v>
      </c>
    </row>
    <row r="284" spans="1:3">
      <c r="A284" s="15">
        <v>255</v>
      </c>
      <c r="B284" s="15">
        <v>691524.54431023041</v>
      </c>
      <c r="C284" s="15">
        <v>28554.995689769625</v>
      </c>
    </row>
    <row r="285" spans="1:3">
      <c r="A285" s="15">
        <v>256</v>
      </c>
      <c r="B285" s="15">
        <v>640921.09283246787</v>
      </c>
      <c r="C285" s="15">
        <v>-28530.952832467854</v>
      </c>
    </row>
    <row r="286" spans="1:3">
      <c r="A286" s="15">
        <v>257</v>
      </c>
      <c r="B286" s="15">
        <v>762694.00852102251</v>
      </c>
      <c r="C286" s="15">
        <v>77414.111478977487</v>
      </c>
    </row>
    <row r="287" spans="1:3">
      <c r="A287" s="15">
        <v>258</v>
      </c>
      <c r="B287" s="15">
        <v>679784.04981736862</v>
      </c>
      <c r="C287" s="15">
        <v>18104.040182631346</v>
      </c>
    </row>
    <row r="288" spans="1:3">
      <c r="A288" s="15">
        <v>259</v>
      </c>
      <c r="B288" s="15">
        <v>745267.69373288576</v>
      </c>
      <c r="C288" s="15">
        <v>847.89626711420715</v>
      </c>
    </row>
    <row r="289" spans="1:3">
      <c r="A289" s="15">
        <v>260</v>
      </c>
      <c r="B289" s="15">
        <v>730417.82621750247</v>
      </c>
      <c r="C289" s="15">
        <v>45692.493782497477</v>
      </c>
    </row>
    <row r="290" spans="1:3">
      <c r="A290" s="15">
        <v>261</v>
      </c>
      <c r="B290" s="15">
        <v>509623.57214285037</v>
      </c>
      <c r="C290" s="15">
        <v>19229.047857149621</v>
      </c>
    </row>
    <row r="291" spans="1:3">
      <c r="A291" s="15">
        <v>262</v>
      </c>
      <c r="B291" s="15">
        <v>603236.59662808641</v>
      </c>
      <c r="C291" s="15">
        <v>2514.7333719135495</v>
      </c>
    </row>
    <row r="292" spans="1:3">
      <c r="A292" s="15">
        <v>263</v>
      </c>
      <c r="B292" s="15">
        <v>596483.35932390974</v>
      </c>
      <c r="C292" s="15">
        <v>81157.290676090284</v>
      </c>
    </row>
    <row r="293" spans="1:3">
      <c r="A293" s="15">
        <v>264</v>
      </c>
      <c r="B293" s="15">
        <v>590915.0605433567</v>
      </c>
      <c r="C293" s="15">
        <v>45698.169456643285</v>
      </c>
    </row>
    <row r="294" spans="1:3">
      <c r="A294" s="15">
        <v>265</v>
      </c>
      <c r="B294" s="15">
        <v>740365.00731408363</v>
      </c>
      <c r="C294" s="15">
        <v>-31379.817314083688</v>
      </c>
    </row>
    <row r="295" spans="1:3">
      <c r="A295" s="15">
        <v>266</v>
      </c>
      <c r="B295" s="15">
        <v>753092.41074495763</v>
      </c>
      <c r="C295" s="15">
        <v>14700.529255042318</v>
      </c>
    </row>
    <row r="296" spans="1:3">
      <c r="A296" s="15">
        <v>267</v>
      </c>
      <c r="B296" s="15">
        <v>732480.08876738767</v>
      </c>
      <c r="C296" s="15">
        <v>13100.421232612338</v>
      </c>
    </row>
    <row r="297" spans="1:3">
      <c r="A297" s="15">
        <v>268</v>
      </c>
      <c r="B297" s="15">
        <v>740269.84650004562</v>
      </c>
      <c r="C297" s="15">
        <v>22058.463499954436</v>
      </c>
    </row>
    <row r="298" spans="1:3">
      <c r="A298" s="15">
        <v>269</v>
      </c>
      <c r="B298" s="15">
        <v>749743.91743262741</v>
      </c>
      <c r="C298" s="15">
        <v>-89109.927432627417</v>
      </c>
    </row>
    <row r="299" spans="1:3">
      <c r="A299" s="15">
        <v>270</v>
      </c>
      <c r="B299" s="15">
        <v>702928.87135206023</v>
      </c>
      <c r="C299" s="15">
        <v>36445.688647939824</v>
      </c>
    </row>
    <row r="300" spans="1:3">
      <c r="A300" s="15">
        <v>271</v>
      </c>
      <c r="B300" s="15">
        <v>807982.38087552006</v>
      </c>
      <c r="C300" s="15">
        <v>-8225.9208755200962</v>
      </c>
    </row>
    <row r="301" spans="1:3">
      <c r="A301" s="15">
        <v>272</v>
      </c>
      <c r="B301" s="15">
        <v>682130.24305676459</v>
      </c>
      <c r="C301" s="15">
        <v>-88787.243056764593</v>
      </c>
    </row>
    <row r="302" spans="1:3">
      <c r="A302" s="15">
        <v>273</v>
      </c>
      <c r="B302" s="15">
        <v>629311.35382635053</v>
      </c>
      <c r="C302" s="15">
        <v>15728.61617364944</v>
      </c>
    </row>
    <row r="303" spans="1:3">
      <c r="A303" s="15">
        <v>274</v>
      </c>
      <c r="B303" s="15">
        <v>532273.78344822698</v>
      </c>
      <c r="C303" s="15">
        <v>29323.546551772975</v>
      </c>
    </row>
    <row r="304" spans="1:3">
      <c r="A304" s="15">
        <v>275</v>
      </c>
      <c r="B304" s="15">
        <v>653410.25493977743</v>
      </c>
      <c r="C304" s="15">
        <v>-17572.514939777437</v>
      </c>
    </row>
    <row r="305" spans="1:3">
      <c r="A305" s="15">
        <v>276</v>
      </c>
      <c r="B305" s="15">
        <v>607948.08027636784</v>
      </c>
      <c r="C305" s="15">
        <v>78789.789723632159</v>
      </c>
    </row>
    <row r="306" spans="1:3">
      <c r="A306" s="15">
        <v>277</v>
      </c>
      <c r="B306" s="15">
        <v>722436.67714402929</v>
      </c>
      <c r="C306" s="15">
        <v>-49360.337144029327</v>
      </c>
    </row>
    <row r="307" spans="1:3">
      <c r="A307" s="15">
        <v>278</v>
      </c>
      <c r="B307" s="15">
        <v>719461.55053240946</v>
      </c>
      <c r="C307" s="15">
        <v>19086.869467590586</v>
      </c>
    </row>
    <row r="308" spans="1:3">
      <c r="A308" s="15">
        <v>279</v>
      </c>
      <c r="B308" s="15">
        <v>777333.77092312521</v>
      </c>
      <c r="C308" s="15">
        <v>-20714.00092312519</v>
      </c>
    </row>
    <row r="309" spans="1:3">
      <c r="A309" s="15">
        <v>280</v>
      </c>
      <c r="B309" s="15">
        <v>791309.02143791283</v>
      </c>
      <c r="C309" s="15">
        <v>-30186.601437912788</v>
      </c>
    </row>
    <row r="310" spans="1:3">
      <c r="A310" s="15">
        <v>281</v>
      </c>
      <c r="B310" s="15">
        <v>586084.70596435177</v>
      </c>
      <c r="C310" s="15">
        <v>-61185.135964351823</v>
      </c>
    </row>
    <row r="311" spans="1:3">
      <c r="A311" s="15">
        <v>282</v>
      </c>
      <c r="B311" s="15">
        <v>592692.52224442293</v>
      </c>
      <c r="C311" s="15">
        <v>-37134.752244422911</v>
      </c>
    </row>
    <row r="312" spans="1:3">
      <c r="A312" s="15">
        <v>283</v>
      </c>
      <c r="B312" s="15">
        <v>699818.79309290426</v>
      </c>
      <c r="C312" s="15">
        <v>14264.886907095788</v>
      </c>
    </row>
    <row r="313" spans="1:3">
      <c r="A313" s="15">
        <v>284</v>
      </c>
      <c r="B313" s="15">
        <v>498738.64510560257</v>
      </c>
      <c r="C313" s="15">
        <v>-1298.825105602562</v>
      </c>
    </row>
    <row r="314" spans="1:3">
      <c r="A314" s="15">
        <v>285</v>
      </c>
      <c r="B314" s="15">
        <v>656185.2373813556</v>
      </c>
      <c r="C314" s="15">
        <v>-19409.577381355572</v>
      </c>
    </row>
    <row r="315" spans="1:3">
      <c r="A315" s="15">
        <v>286</v>
      </c>
      <c r="B315" s="15">
        <v>648062.73101268953</v>
      </c>
      <c r="C315" s="15">
        <v>-15053.201012689504</v>
      </c>
    </row>
    <row r="316" spans="1:3">
      <c r="A316" s="15">
        <v>287</v>
      </c>
      <c r="B316" s="15">
        <v>619814.81924534985</v>
      </c>
      <c r="C316" s="15">
        <v>-9865.8192453498486</v>
      </c>
    </row>
    <row r="317" spans="1:3">
      <c r="A317" s="15">
        <v>288</v>
      </c>
      <c r="B317" s="15">
        <v>569052.41008906043</v>
      </c>
      <c r="C317" s="15">
        <v>-20948.710089060478</v>
      </c>
    </row>
    <row r="318" spans="1:3">
      <c r="A318" s="15">
        <v>289</v>
      </c>
      <c r="B318" s="15">
        <v>718503.03794637823</v>
      </c>
      <c r="C318" s="15">
        <v>10921.382053621812</v>
      </c>
    </row>
    <row r="319" spans="1:3">
      <c r="A319" s="15">
        <v>290</v>
      </c>
      <c r="B319" s="15">
        <v>749171.80959786894</v>
      </c>
      <c r="C319" s="15">
        <v>-52910.319597868947</v>
      </c>
    </row>
    <row r="320" spans="1:3">
      <c r="A320" s="15">
        <v>291</v>
      </c>
      <c r="B320" s="15">
        <v>725854.54326376598</v>
      </c>
      <c r="C320" s="15">
        <v>87462.166736233979</v>
      </c>
    </row>
    <row r="321" spans="1:3">
      <c r="A321" s="15">
        <v>292</v>
      </c>
      <c r="B321" s="15">
        <v>716254.844280725</v>
      </c>
      <c r="C321" s="15">
        <v>-14185.924280724954</v>
      </c>
    </row>
    <row r="322" spans="1:3">
      <c r="A322" s="15">
        <v>293</v>
      </c>
      <c r="B322" s="15">
        <v>572429.52412058425</v>
      </c>
      <c r="C322" s="15">
        <v>-26205.824120584293</v>
      </c>
    </row>
    <row r="323" spans="1:3">
      <c r="A323" s="15">
        <v>294</v>
      </c>
      <c r="B323" s="15">
        <v>526985.15913305373</v>
      </c>
      <c r="C323" s="15">
        <v>6136.1008669462753</v>
      </c>
    </row>
    <row r="324" spans="1:3">
      <c r="A324" s="15">
        <v>295</v>
      </c>
      <c r="B324" s="15">
        <v>480476.02199792571</v>
      </c>
      <c r="C324" s="15">
        <v>18494.298002074298</v>
      </c>
    </row>
    <row r="325" spans="1:3">
      <c r="A325" s="15">
        <v>296</v>
      </c>
      <c r="B325" s="15">
        <v>470530.11106634361</v>
      </c>
      <c r="C325" s="15">
        <v>17208.148933656397</v>
      </c>
    </row>
    <row r="326" spans="1:3">
      <c r="A326" s="15">
        <v>297</v>
      </c>
      <c r="B326" s="15">
        <v>664354.4651442559</v>
      </c>
      <c r="C326" s="15">
        <v>4104.9048557440983</v>
      </c>
    </row>
    <row r="327" spans="1:3">
      <c r="A327" s="15">
        <v>298</v>
      </c>
      <c r="B327" s="15">
        <v>686922.48767183931</v>
      </c>
      <c r="C327" s="15">
        <v>76239.962328160647</v>
      </c>
    </row>
    <row r="328" spans="1:3">
      <c r="A328" s="15">
        <v>299</v>
      </c>
      <c r="B328" s="15">
        <v>622219.11098934349</v>
      </c>
      <c r="C328" s="15">
        <v>-23201.780989343533</v>
      </c>
    </row>
    <row r="329" spans="1:3">
      <c r="A329" s="15">
        <v>300</v>
      </c>
      <c r="B329" s="15">
        <v>441125.53338248649</v>
      </c>
      <c r="C329" s="15">
        <v>-39542.953382486477</v>
      </c>
    </row>
    <row r="330" spans="1:3">
      <c r="A330" s="15">
        <v>301</v>
      </c>
      <c r="B330" s="15">
        <v>714678.3986216014</v>
      </c>
      <c r="C330" s="15">
        <v>-10865.408621601411</v>
      </c>
    </row>
    <row r="331" spans="1:3">
      <c r="A331" s="15">
        <v>302</v>
      </c>
      <c r="B331" s="15">
        <v>723953.53969118011</v>
      </c>
      <c r="C331" s="15">
        <v>393.19030881987419</v>
      </c>
    </row>
    <row r="332" spans="1:3">
      <c r="A332" s="15">
        <v>303</v>
      </c>
      <c r="B332" s="15">
        <v>729235.81650048669</v>
      </c>
      <c r="C332" s="15">
        <v>1654.1934995133197</v>
      </c>
    </row>
    <row r="333" spans="1:3">
      <c r="A333" s="15">
        <v>304</v>
      </c>
      <c r="B333" s="15">
        <v>722361.97591128643</v>
      </c>
      <c r="C333" s="15">
        <v>58218.974088713527</v>
      </c>
    </row>
    <row r="334" spans="1:3">
      <c r="A334" s="15">
        <v>305</v>
      </c>
      <c r="B334" s="15">
        <v>713956.23427880695</v>
      </c>
      <c r="C334" s="15">
        <v>14001.24572119303</v>
      </c>
    </row>
    <row r="335" spans="1:3">
      <c r="A335" s="15">
        <v>306</v>
      </c>
      <c r="B335" s="15">
        <v>616013.40416494547</v>
      </c>
      <c r="C335" s="15">
        <v>-77637.404164945474</v>
      </c>
    </row>
    <row r="336" spans="1:3">
      <c r="A336" s="15">
        <v>307</v>
      </c>
      <c r="B336" s="15">
        <v>643173.24487178016</v>
      </c>
      <c r="C336" s="15">
        <v>22169.245128219831</v>
      </c>
    </row>
    <row r="337" spans="1:3">
      <c r="A337" s="15">
        <v>308</v>
      </c>
      <c r="B337" s="15">
        <v>722870.20613800047</v>
      </c>
      <c r="C337" s="15">
        <v>-71706.026138000423</v>
      </c>
    </row>
    <row r="338" spans="1:3">
      <c r="A338" s="15">
        <v>309</v>
      </c>
      <c r="B338" s="15">
        <v>652215.92081380391</v>
      </c>
      <c r="C338" s="15">
        <v>-23677.620813803864</v>
      </c>
    </row>
    <row r="339" spans="1:3">
      <c r="A339" s="15">
        <v>310</v>
      </c>
      <c r="B339" s="15">
        <v>592613.41218584799</v>
      </c>
      <c r="C339" s="15">
        <v>-56088.572185848025</v>
      </c>
    </row>
    <row r="340" spans="1:3">
      <c r="A340" s="15">
        <v>311</v>
      </c>
      <c r="B340" s="15">
        <v>624638.42994273303</v>
      </c>
      <c r="C340" s="15">
        <v>-2961.1299427329795</v>
      </c>
    </row>
    <row r="341" spans="1:3">
      <c r="A341" s="15">
        <v>312</v>
      </c>
      <c r="B341" s="15">
        <v>768862.20536007721</v>
      </c>
      <c r="C341" s="15">
        <v>2266.8646399227437</v>
      </c>
    </row>
    <row r="342" spans="1:3">
      <c r="A342" s="15">
        <v>313</v>
      </c>
      <c r="B342" s="15">
        <v>696716.96775165666</v>
      </c>
      <c r="C342" s="15">
        <v>5335.5022483433131</v>
      </c>
    </row>
    <row r="343" spans="1:3">
      <c r="A343" s="15">
        <v>314</v>
      </c>
      <c r="B343" s="15">
        <v>732902.83577307197</v>
      </c>
      <c r="C343" s="15">
        <v>-44534.37577307201</v>
      </c>
    </row>
    <row r="344" spans="1:3">
      <c r="A344" s="15">
        <v>315</v>
      </c>
      <c r="B344" s="15">
        <v>696172.76136806572</v>
      </c>
      <c r="C344" s="15">
        <v>16203.008631934295</v>
      </c>
    </row>
    <row r="345" spans="1:3">
      <c r="A345" s="15">
        <v>316</v>
      </c>
      <c r="B345" s="15">
        <v>823894.15655948233</v>
      </c>
      <c r="C345" s="15">
        <v>20816.513440517709</v>
      </c>
    </row>
    <row r="346" spans="1:3">
      <c r="A346" s="15">
        <v>317</v>
      </c>
      <c r="B346" s="15">
        <v>695295.50465626875</v>
      </c>
      <c r="C346" s="15">
        <v>-75031.304656268796</v>
      </c>
    </row>
    <row r="347" spans="1:3">
      <c r="A347" s="15">
        <v>318</v>
      </c>
      <c r="B347" s="15">
        <v>547193.35330851492</v>
      </c>
      <c r="C347" s="15">
        <v>-10347.933308514883</v>
      </c>
    </row>
    <row r="348" spans="1:3">
      <c r="A348" s="15">
        <v>319</v>
      </c>
      <c r="B348" s="15">
        <v>740122.60124349128</v>
      </c>
      <c r="C348" s="15">
        <v>-13346.381243491312</v>
      </c>
    </row>
    <row r="349" spans="1:3" ht="15" thickBot="1">
      <c r="A349" s="16">
        <v>320</v>
      </c>
      <c r="B349" s="16">
        <v>585277.25781727419</v>
      </c>
      <c r="C349" s="16">
        <v>-25616.417817274225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30D6-A57F-4AA4-B2A8-6F7C5E06515A}">
  <dimension ref="A1:H321"/>
  <sheetViews>
    <sheetView workbookViewId="0">
      <selection activeCell="J7" sqref="J7"/>
    </sheetView>
  </sheetViews>
  <sheetFormatPr defaultRowHeight="14.4"/>
  <cols>
    <col min="1" max="1" width="18.21875" style="3" customWidth="1"/>
    <col min="2" max="3" width="18.21875" style="5" customWidth="1"/>
    <col min="4" max="4" width="17.33203125" style="5" bestFit="1" customWidth="1"/>
    <col min="5" max="5" width="17.77734375" style="5" customWidth="1"/>
    <col min="6" max="6" width="18.109375" style="12" customWidth="1"/>
    <col min="7" max="7" width="23.109375" style="12" customWidth="1"/>
    <col min="8" max="8" width="17.77734375" style="5" customWidth="1"/>
  </cols>
  <sheetData>
    <row r="1" spans="1:8" ht="27.6">
      <c r="A1" s="1" t="s">
        <v>0</v>
      </c>
      <c r="B1" s="1" t="s">
        <v>4</v>
      </c>
      <c r="C1" s="1" t="s">
        <v>5</v>
      </c>
      <c r="D1" s="1" t="s">
        <v>8</v>
      </c>
      <c r="E1" s="1" t="s">
        <v>9</v>
      </c>
      <c r="F1" s="11" t="s">
        <v>122</v>
      </c>
      <c r="G1" s="11" t="s">
        <v>123</v>
      </c>
      <c r="H1" s="1" t="s">
        <v>12</v>
      </c>
    </row>
    <row r="2" spans="1:8">
      <c r="A2" s="3" t="s">
        <v>14</v>
      </c>
      <c r="B2" s="5">
        <v>70389.11</v>
      </c>
      <c r="C2" s="5">
        <v>8302</v>
      </c>
      <c r="D2" s="5">
        <v>75</v>
      </c>
      <c r="E2" s="5">
        <v>5.28</v>
      </c>
      <c r="F2" s="12">
        <v>0</v>
      </c>
      <c r="G2" s="12">
        <v>0</v>
      </c>
      <c r="H2" s="5">
        <v>658832.62</v>
      </c>
    </row>
    <row r="3" spans="1:8">
      <c r="A3" s="3" t="s">
        <v>14</v>
      </c>
      <c r="B3" s="5">
        <v>43827.89</v>
      </c>
      <c r="C3" s="5">
        <v>8487</v>
      </c>
      <c r="D3" s="5">
        <v>84.4</v>
      </c>
      <c r="E3" s="5">
        <v>4.3099999999999996</v>
      </c>
      <c r="F3" s="12">
        <v>0</v>
      </c>
      <c r="G3" s="12">
        <v>0</v>
      </c>
      <c r="H3" s="5">
        <v>634436</v>
      </c>
    </row>
    <row r="4" spans="1:8">
      <c r="A4" s="3" t="s">
        <v>14</v>
      </c>
      <c r="B4" s="5">
        <v>59921.75</v>
      </c>
      <c r="C4" s="5">
        <v>9113</v>
      </c>
      <c r="D4" s="5">
        <v>88</v>
      </c>
      <c r="E4" s="5">
        <v>12</v>
      </c>
      <c r="F4" s="12">
        <v>0</v>
      </c>
      <c r="G4" s="12">
        <v>0</v>
      </c>
      <c r="H4" s="5">
        <v>678722.06</v>
      </c>
    </row>
    <row r="5" spans="1:8">
      <c r="A5" s="3" t="s">
        <v>14</v>
      </c>
      <c r="B5" s="5">
        <v>56856.63</v>
      </c>
      <c r="C5" s="5">
        <v>9431</v>
      </c>
      <c r="D5" s="5">
        <v>86.9</v>
      </c>
      <c r="E5" s="5">
        <v>4.97</v>
      </c>
      <c r="F5" s="12">
        <v>0</v>
      </c>
      <c r="G5" s="12">
        <v>0</v>
      </c>
      <c r="H5" s="5">
        <v>658920.30000000005</v>
      </c>
    </row>
    <row r="6" spans="1:8">
      <c r="A6" s="3" t="s">
        <v>17</v>
      </c>
      <c r="B6" s="5">
        <v>48412.639999999999</v>
      </c>
      <c r="C6" s="5">
        <v>9545</v>
      </c>
      <c r="D6" s="5">
        <v>97.6</v>
      </c>
      <c r="E6" s="5">
        <v>6.94</v>
      </c>
      <c r="F6" s="12">
        <v>0</v>
      </c>
      <c r="G6" s="12">
        <v>1</v>
      </c>
      <c r="H6" s="5">
        <v>741341.44</v>
      </c>
    </row>
    <row r="7" spans="1:8">
      <c r="A7" s="3" t="s">
        <v>17</v>
      </c>
      <c r="B7" s="5">
        <v>64811.21</v>
      </c>
      <c r="C7" s="5">
        <v>9792</v>
      </c>
      <c r="D7" s="5">
        <v>84.2</v>
      </c>
      <c r="E7" s="5">
        <v>2.88</v>
      </c>
      <c r="F7" s="12">
        <v>0</v>
      </c>
      <c r="G7" s="12">
        <v>1</v>
      </c>
      <c r="H7" s="5">
        <v>761835.34</v>
      </c>
    </row>
    <row r="8" spans="1:8">
      <c r="A8" s="3" t="s">
        <v>17</v>
      </c>
      <c r="B8" s="5">
        <v>46213.45</v>
      </c>
      <c r="C8" s="5">
        <v>10616</v>
      </c>
      <c r="D8" s="5">
        <v>85.2</v>
      </c>
      <c r="E8" s="5">
        <v>0.2</v>
      </c>
      <c r="F8" s="12">
        <v>0</v>
      </c>
      <c r="G8" s="12">
        <v>1</v>
      </c>
      <c r="H8" s="5">
        <v>806615.54</v>
      </c>
    </row>
    <row r="9" spans="1:8">
      <c r="A9" s="3" t="s">
        <v>17</v>
      </c>
      <c r="B9" s="5">
        <v>68148.52</v>
      </c>
      <c r="C9" s="5">
        <v>8567</v>
      </c>
      <c r="D9" s="5">
        <v>95.6</v>
      </c>
      <c r="E9" s="5">
        <v>0.8</v>
      </c>
      <c r="F9" s="12">
        <v>0</v>
      </c>
      <c r="G9" s="12">
        <v>1</v>
      </c>
      <c r="H9" s="5">
        <v>850164.26</v>
      </c>
    </row>
    <row r="10" spans="1:8">
      <c r="A10" s="3" t="s">
        <v>19</v>
      </c>
      <c r="B10" s="5">
        <v>71838.86</v>
      </c>
      <c r="C10" s="5">
        <v>10979</v>
      </c>
      <c r="D10" s="5">
        <v>88.6</v>
      </c>
      <c r="E10" s="5">
        <v>7.7</v>
      </c>
      <c r="F10" s="12">
        <v>0</v>
      </c>
      <c r="G10" s="12">
        <v>0</v>
      </c>
      <c r="H10" s="5">
        <v>930581.7</v>
      </c>
    </row>
    <row r="11" spans="1:8">
      <c r="A11" s="3" t="s">
        <v>19</v>
      </c>
      <c r="B11" s="5">
        <v>68133.440000000002</v>
      </c>
      <c r="C11" s="5">
        <v>9459</v>
      </c>
      <c r="D11" s="5">
        <v>85</v>
      </c>
      <c r="E11" s="5">
        <v>1.91</v>
      </c>
      <c r="F11" s="12">
        <v>0</v>
      </c>
      <c r="G11" s="12">
        <v>0</v>
      </c>
      <c r="H11" s="5">
        <v>779010.94</v>
      </c>
    </row>
    <row r="12" spans="1:8">
      <c r="A12" s="3" t="s">
        <v>19</v>
      </c>
      <c r="B12" s="5">
        <v>34285.21</v>
      </c>
      <c r="C12" s="5">
        <v>9172</v>
      </c>
      <c r="D12" s="5">
        <v>88.3</v>
      </c>
      <c r="E12" s="5">
        <v>10.46</v>
      </c>
      <c r="F12" s="12">
        <v>0</v>
      </c>
      <c r="G12" s="12">
        <v>0</v>
      </c>
      <c r="H12" s="5">
        <v>723060.76</v>
      </c>
    </row>
    <row r="13" spans="1:8">
      <c r="A13" s="3" t="s">
        <v>19</v>
      </c>
      <c r="B13" s="5">
        <v>67979.88</v>
      </c>
      <c r="C13" s="5">
        <v>11230</v>
      </c>
      <c r="D13" s="5">
        <v>85.3</v>
      </c>
      <c r="E13" s="5">
        <v>7.16</v>
      </c>
      <c r="F13" s="12">
        <v>0</v>
      </c>
      <c r="G13" s="12">
        <v>0</v>
      </c>
      <c r="H13" s="5">
        <v>910791.94</v>
      </c>
    </row>
    <row r="14" spans="1:8">
      <c r="A14" s="3" t="s">
        <v>22</v>
      </c>
      <c r="B14" s="5">
        <v>71828.259999999995</v>
      </c>
      <c r="C14" s="5">
        <v>12775</v>
      </c>
      <c r="D14" s="5">
        <v>81.7</v>
      </c>
      <c r="E14" s="5">
        <v>4.24</v>
      </c>
      <c r="F14" s="12">
        <v>0</v>
      </c>
      <c r="G14" s="12">
        <v>0</v>
      </c>
      <c r="H14" s="5">
        <v>922168.6</v>
      </c>
    </row>
    <row r="15" spans="1:8">
      <c r="A15" s="3" t="s">
        <v>22</v>
      </c>
      <c r="B15" s="5">
        <v>55716.82</v>
      </c>
      <c r="C15" s="5">
        <v>10054</v>
      </c>
      <c r="D15" s="5">
        <v>84.9</v>
      </c>
      <c r="E15" s="5">
        <v>1.06</v>
      </c>
      <c r="F15" s="12">
        <v>0</v>
      </c>
      <c r="G15" s="12">
        <v>0</v>
      </c>
      <c r="H15" s="5">
        <v>726606.28</v>
      </c>
    </row>
    <row r="16" spans="1:8">
      <c r="A16" s="3" t="s">
        <v>22</v>
      </c>
      <c r="B16" s="5">
        <v>59909.51</v>
      </c>
      <c r="C16" s="5">
        <v>8895</v>
      </c>
      <c r="D16" s="5">
        <v>88.8</v>
      </c>
      <c r="E16" s="5">
        <v>0.27</v>
      </c>
      <c r="F16" s="12">
        <v>0</v>
      </c>
      <c r="G16" s="12">
        <v>0</v>
      </c>
      <c r="H16" s="5">
        <v>746501.09</v>
      </c>
    </row>
    <row r="17" spans="1:8">
      <c r="A17" s="3" t="s">
        <v>22</v>
      </c>
      <c r="B17" s="5">
        <v>75305.710000000006</v>
      </c>
      <c r="C17" s="5">
        <v>10940</v>
      </c>
      <c r="D17" s="5">
        <v>76.5</v>
      </c>
      <c r="E17" s="5">
        <v>1.32</v>
      </c>
      <c r="F17" s="12">
        <v>0</v>
      </c>
      <c r="G17" s="12">
        <v>0</v>
      </c>
      <c r="H17" s="5">
        <v>834017.02</v>
      </c>
    </row>
    <row r="18" spans="1:8">
      <c r="A18" s="3" t="s">
        <v>23</v>
      </c>
      <c r="B18" s="5">
        <v>48804.22</v>
      </c>
      <c r="C18" s="5">
        <v>7057</v>
      </c>
      <c r="D18" s="5">
        <v>87.7</v>
      </c>
      <c r="E18" s="5">
        <v>1.22</v>
      </c>
      <c r="F18" s="12">
        <v>1</v>
      </c>
      <c r="G18" s="12">
        <v>0</v>
      </c>
      <c r="H18" s="5">
        <v>666152.52</v>
      </c>
    </row>
    <row r="19" spans="1:8">
      <c r="A19" s="3" t="s">
        <v>23</v>
      </c>
      <c r="B19" s="5">
        <v>59117.9</v>
      </c>
      <c r="C19" s="5">
        <v>4263</v>
      </c>
      <c r="D19" s="5">
        <v>87.6</v>
      </c>
      <c r="E19" s="5">
        <v>4.01</v>
      </c>
      <c r="F19" s="12">
        <v>1</v>
      </c>
      <c r="G19" s="12">
        <v>0</v>
      </c>
      <c r="H19" s="5">
        <v>573155.18999999994</v>
      </c>
    </row>
    <row r="20" spans="1:8">
      <c r="A20" s="3" t="s">
        <v>23</v>
      </c>
      <c r="B20" s="5">
        <v>78831.12</v>
      </c>
      <c r="C20" s="5">
        <v>5538</v>
      </c>
      <c r="D20" s="5">
        <v>94.1</v>
      </c>
      <c r="E20" s="5">
        <v>0.2</v>
      </c>
      <c r="F20" s="12">
        <v>1</v>
      </c>
      <c r="G20" s="12">
        <v>0</v>
      </c>
      <c r="H20" s="5">
        <v>666573.19999999995</v>
      </c>
    </row>
    <row r="21" spans="1:8">
      <c r="A21" s="3" t="s">
        <v>23</v>
      </c>
      <c r="B21" s="5">
        <v>41441.93</v>
      </c>
      <c r="C21" s="5">
        <v>4865</v>
      </c>
      <c r="D21" s="5">
        <v>88.3</v>
      </c>
      <c r="E21" s="5">
        <v>0.5</v>
      </c>
      <c r="F21" s="12">
        <v>1</v>
      </c>
      <c r="G21" s="12">
        <v>0</v>
      </c>
      <c r="H21" s="5">
        <v>591619.94999999995</v>
      </c>
    </row>
    <row r="22" spans="1:8">
      <c r="A22" s="3" t="s">
        <v>25</v>
      </c>
      <c r="B22" s="5">
        <v>30356.28</v>
      </c>
      <c r="C22" s="5">
        <v>2822</v>
      </c>
      <c r="D22" s="5">
        <v>84.8</v>
      </c>
      <c r="E22" s="5">
        <v>6.95</v>
      </c>
      <c r="F22" s="12">
        <v>0</v>
      </c>
      <c r="G22" s="12">
        <v>0</v>
      </c>
      <c r="H22" s="5">
        <v>415721.82</v>
      </c>
    </row>
    <row r="23" spans="1:8">
      <c r="A23" s="3" t="s">
        <v>25</v>
      </c>
      <c r="B23" s="5">
        <v>33518.879999999997</v>
      </c>
      <c r="C23" s="5">
        <v>2121</v>
      </c>
      <c r="D23" s="5">
        <v>88.5</v>
      </c>
      <c r="E23" s="5">
        <v>0.2</v>
      </c>
      <c r="F23" s="12">
        <v>0</v>
      </c>
      <c r="G23" s="12">
        <v>0</v>
      </c>
      <c r="H23" s="5">
        <v>491905.13</v>
      </c>
    </row>
    <row r="24" spans="1:8">
      <c r="A24" s="3" t="s">
        <v>25</v>
      </c>
      <c r="B24" s="5">
        <v>42267.37</v>
      </c>
      <c r="C24" s="5">
        <v>3364</v>
      </c>
      <c r="D24" s="5">
        <v>82</v>
      </c>
      <c r="E24" s="5">
        <v>1.61</v>
      </c>
      <c r="F24" s="12">
        <v>0</v>
      </c>
      <c r="G24" s="12">
        <v>0</v>
      </c>
      <c r="H24" s="5">
        <v>555929.4</v>
      </c>
    </row>
    <row r="25" spans="1:8">
      <c r="A25" s="3" t="s">
        <v>25</v>
      </c>
      <c r="B25" s="5">
        <v>62060.43</v>
      </c>
      <c r="C25" s="5">
        <v>2613</v>
      </c>
      <c r="D25" s="5">
        <v>92.1</v>
      </c>
      <c r="E25" s="5">
        <v>1.55</v>
      </c>
      <c r="F25" s="12">
        <v>0</v>
      </c>
      <c r="G25" s="12">
        <v>0</v>
      </c>
      <c r="H25" s="5">
        <v>565810.99</v>
      </c>
    </row>
    <row r="26" spans="1:8">
      <c r="A26" s="3" t="s">
        <v>26</v>
      </c>
      <c r="B26" s="5">
        <v>57696.69</v>
      </c>
      <c r="C26" s="5">
        <v>10218</v>
      </c>
      <c r="D26" s="5">
        <v>94.8</v>
      </c>
      <c r="E26" s="5">
        <v>2.99</v>
      </c>
      <c r="F26" s="12">
        <v>0</v>
      </c>
      <c r="G26" s="12">
        <v>0</v>
      </c>
      <c r="H26" s="5">
        <v>811771.14</v>
      </c>
    </row>
    <row r="27" spans="1:8">
      <c r="A27" s="3" t="s">
        <v>26</v>
      </c>
      <c r="B27" s="5">
        <v>172415.52</v>
      </c>
      <c r="C27" s="5">
        <v>8927</v>
      </c>
      <c r="D27" s="5">
        <v>86.2</v>
      </c>
      <c r="E27" s="5">
        <v>7.04</v>
      </c>
      <c r="F27" s="12">
        <v>0</v>
      </c>
      <c r="G27" s="12">
        <v>0</v>
      </c>
      <c r="H27" s="5">
        <v>800451.94</v>
      </c>
    </row>
    <row r="28" spans="1:8">
      <c r="A28" s="3" t="s">
        <v>26</v>
      </c>
      <c r="B28" s="5">
        <v>55270.52</v>
      </c>
      <c r="C28" s="5">
        <v>9315</v>
      </c>
      <c r="D28" s="5">
        <v>91.9</v>
      </c>
      <c r="E28" s="5">
        <v>4.9400000000000004</v>
      </c>
      <c r="F28" s="12">
        <v>0</v>
      </c>
      <c r="G28" s="12">
        <v>0</v>
      </c>
      <c r="H28" s="5">
        <v>783672.82</v>
      </c>
    </row>
    <row r="29" spans="1:8">
      <c r="A29" s="3" t="s">
        <v>26</v>
      </c>
      <c r="B29" s="5">
        <v>52715.1</v>
      </c>
      <c r="C29" s="5">
        <v>7223</v>
      </c>
      <c r="D29" s="5">
        <v>84.2</v>
      </c>
      <c r="E29" s="5">
        <v>16.149999999999999</v>
      </c>
      <c r="F29" s="12">
        <v>0</v>
      </c>
      <c r="G29" s="12">
        <v>0</v>
      </c>
      <c r="H29" s="5">
        <v>701641.97</v>
      </c>
    </row>
    <row r="30" spans="1:8">
      <c r="A30" s="3" t="s">
        <v>29</v>
      </c>
      <c r="B30" s="5">
        <v>68600.62</v>
      </c>
      <c r="C30" s="5">
        <v>3988</v>
      </c>
      <c r="D30" s="5">
        <v>85</v>
      </c>
      <c r="E30" s="5">
        <v>0.48</v>
      </c>
      <c r="F30" s="12">
        <v>0</v>
      </c>
      <c r="G30" s="12">
        <v>0</v>
      </c>
      <c r="H30" s="5">
        <v>511844.41</v>
      </c>
    </row>
    <row r="31" spans="1:8">
      <c r="A31" s="3" t="s">
        <v>29</v>
      </c>
      <c r="B31" s="5">
        <v>63176.73</v>
      </c>
      <c r="C31" s="5">
        <v>2390</v>
      </c>
      <c r="D31" s="5">
        <v>87.5</v>
      </c>
      <c r="E31" s="5">
        <v>0.31</v>
      </c>
      <c r="F31" s="12">
        <v>0</v>
      </c>
      <c r="G31" s="12">
        <v>0</v>
      </c>
      <c r="H31" s="5">
        <v>537383.79</v>
      </c>
    </row>
    <row r="32" spans="1:8">
      <c r="A32" s="3" t="s">
        <v>29</v>
      </c>
      <c r="B32" s="5">
        <v>44970.080000000002</v>
      </c>
      <c r="C32" s="5">
        <v>2471</v>
      </c>
      <c r="D32" s="5">
        <v>87.6</v>
      </c>
      <c r="E32" s="5">
        <v>3.01</v>
      </c>
      <c r="F32" s="12">
        <v>0</v>
      </c>
      <c r="G32" s="12">
        <v>0</v>
      </c>
      <c r="H32" s="5">
        <v>500173.02</v>
      </c>
    </row>
    <row r="33" spans="1:8">
      <c r="A33" s="3" t="s">
        <v>29</v>
      </c>
      <c r="B33" s="5">
        <v>69816.350000000006</v>
      </c>
      <c r="C33" s="5">
        <v>971</v>
      </c>
      <c r="D33" s="5">
        <v>89.9</v>
      </c>
      <c r="E33" s="5">
        <v>12.15</v>
      </c>
      <c r="F33" s="12">
        <v>0</v>
      </c>
      <c r="G33" s="12">
        <v>0</v>
      </c>
      <c r="H33" s="5">
        <v>427917.38</v>
      </c>
    </row>
    <row r="34" spans="1:8">
      <c r="A34" s="3" t="s">
        <v>30</v>
      </c>
      <c r="B34" s="5">
        <v>54597.83</v>
      </c>
      <c r="C34" s="5">
        <v>9429</v>
      </c>
      <c r="D34" s="5">
        <v>83.3</v>
      </c>
      <c r="E34" s="5">
        <v>11.71</v>
      </c>
      <c r="F34" s="12">
        <v>0</v>
      </c>
      <c r="G34" s="12">
        <v>0</v>
      </c>
      <c r="H34" s="5">
        <v>641865.03</v>
      </c>
    </row>
    <row r="35" spans="1:8">
      <c r="A35" s="3" t="s">
        <v>30</v>
      </c>
      <c r="B35" s="5">
        <v>73771.91</v>
      </c>
      <c r="C35" s="5">
        <v>11695</v>
      </c>
      <c r="D35" s="5">
        <v>84.7</v>
      </c>
      <c r="E35" s="5">
        <v>0.62</v>
      </c>
      <c r="F35" s="12">
        <v>0</v>
      </c>
      <c r="G35" s="12">
        <v>0</v>
      </c>
      <c r="H35" s="5">
        <v>799477.76000000001</v>
      </c>
    </row>
    <row r="36" spans="1:8">
      <c r="A36" s="3" t="s">
        <v>30</v>
      </c>
      <c r="B36" s="5">
        <v>74413.88</v>
      </c>
      <c r="C36" s="5">
        <v>9449</v>
      </c>
      <c r="D36" s="5">
        <v>92.1</v>
      </c>
      <c r="E36" s="5">
        <v>2.12</v>
      </c>
      <c r="F36" s="12">
        <v>0</v>
      </c>
      <c r="G36" s="12">
        <v>0</v>
      </c>
      <c r="H36" s="5">
        <v>798952.17</v>
      </c>
    </row>
    <row r="37" spans="1:8">
      <c r="A37" s="3" t="s">
        <v>30</v>
      </c>
      <c r="B37" s="5">
        <v>52483.77</v>
      </c>
      <c r="C37" s="5">
        <v>10453</v>
      </c>
      <c r="D37" s="5">
        <v>99</v>
      </c>
      <c r="E37" s="5">
        <v>6.31</v>
      </c>
      <c r="F37" s="12">
        <v>0</v>
      </c>
      <c r="G37" s="12">
        <v>0</v>
      </c>
      <c r="H37" s="5">
        <v>800979.78</v>
      </c>
    </row>
    <row r="38" spans="1:8">
      <c r="A38" s="3" t="s">
        <v>31</v>
      </c>
      <c r="B38" s="5">
        <v>75269.87</v>
      </c>
      <c r="C38" s="5">
        <v>8838</v>
      </c>
      <c r="D38" s="5">
        <v>83.1</v>
      </c>
      <c r="E38" s="5">
        <v>9.56</v>
      </c>
      <c r="F38" s="12">
        <v>0</v>
      </c>
      <c r="G38" s="12">
        <v>0</v>
      </c>
      <c r="H38" s="5">
        <v>820593.93</v>
      </c>
    </row>
    <row r="39" spans="1:8">
      <c r="A39" s="3" t="s">
        <v>31</v>
      </c>
      <c r="B39" s="5">
        <v>61245.41</v>
      </c>
      <c r="C39" s="5">
        <v>8156</v>
      </c>
      <c r="D39" s="5">
        <v>92.9</v>
      </c>
      <c r="E39" s="5">
        <v>9.0500000000000007</v>
      </c>
      <c r="F39" s="12">
        <v>0</v>
      </c>
      <c r="G39" s="12">
        <v>0</v>
      </c>
      <c r="H39" s="5">
        <v>718330.53</v>
      </c>
    </row>
    <row r="40" spans="1:8">
      <c r="A40" s="3" t="s">
        <v>31</v>
      </c>
      <c r="B40" s="5">
        <v>93381.26</v>
      </c>
      <c r="C40" s="5">
        <v>7562</v>
      </c>
      <c r="D40" s="5">
        <v>82.9</v>
      </c>
      <c r="E40" s="5">
        <v>5.05</v>
      </c>
      <c r="F40" s="12">
        <v>0</v>
      </c>
      <c r="G40" s="12">
        <v>0</v>
      </c>
      <c r="H40" s="5">
        <v>736633.4</v>
      </c>
    </row>
    <row r="41" spans="1:8">
      <c r="A41" s="3" t="s">
        <v>31</v>
      </c>
      <c r="B41" s="5">
        <v>65012.19</v>
      </c>
      <c r="C41" s="5">
        <v>9598</v>
      </c>
      <c r="D41" s="5">
        <v>98.3</v>
      </c>
      <c r="E41" s="5">
        <v>0.89</v>
      </c>
      <c r="F41" s="12">
        <v>0</v>
      </c>
      <c r="G41" s="12">
        <v>0</v>
      </c>
      <c r="H41" s="5">
        <v>828623.85</v>
      </c>
    </row>
    <row r="42" spans="1:8">
      <c r="A42" s="3" t="s">
        <v>32</v>
      </c>
      <c r="B42" s="5">
        <v>40462.94</v>
      </c>
      <c r="C42" s="5">
        <v>3660</v>
      </c>
      <c r="D42" s="5">
        <v>95.2</v>
      </c>
      <c r="E42" s="5">
        <v>5.57</v>
      </c>
      <c r="F42" s="12">
        <v>0</v>
      </c>
      <c r="G42" s="12">
        <v>0</v>
      </c>
      <c r="H42" s="5">
        <v>592195.85</v>
      </c>
    </row>
    <row r="43" spans="1:8">
      <c r="A43" s="3" t="s">
        <v>32</v>
      </c>
      <c r="B43" s="5">
        <v>46123.88</v>
      </c>
      <c r="C43" s="5">
        <v>3227</v>
      </c>
      <c r="D43" s="5">
        <v>75.400000000000006</v>
      </c>
      <c r="E43" s="5">
        <v>1.06</v>
      </c>
      <c r="F43" s="12">
        <v>0</v>
      </c>
      <c r="G43" s="12">
        <v>0</v>
      </c>
      <c r="H43" s="5">
        <v>532644.46</v>
      </c>
    </row>
    <row r="44" spans="1:8">
      <c r="A44" s="3" t="s">
        <v>32</v>
      </c>
      <c r="B44" s="5">
        <v>68077.539999999994</v>
      </c>
      <c r="C44" s="5">
        <v>3360</v>
      </c>
      <c r="D44" s="5">
        <v>88.2</v>
      </c>
      <c r="E44" s="5">
        <v>1.24</v>
      </c>
      <c r="F44" s="12">
        <v>0</v>
      </c>
      <c r="G44" s="12">
        <v>0</v>
      </c>
      <c r="H44" s="5">
        <v>657429.18000000005</v>
      </c>
    </row>
    <row r="45" spans="1:8">
      <c r="A45" s="3" t="s">
        <v>32</v>
      </c>
      <c r="B45" s="5">
        <v>64882.14</v>
      </c>
      <c r="C45" s="5">
        <v>3642</v>
      </c>
      <c r="D45" s="5">
        <v>87.8</v>
      </c>
      <c r="E45" s="5">
        <v>4.5199999999999996</v>
      </c>
      <c r="F45" s="12">
        <v>0</v>
      </c>
      <c r="G45" s="12">
        <v>0</v>
      </c>
      <c r="H45" s="5">
        <v>605178</v>
      </c>
    </row>
    <row r="46" spans="1:8">
      <c r="A46" s="3" t="s">
        <v>33</v>
      </c>
      <c r="B46" s="5">
        <v>138855.51</v>
      </c>
      <c r="C46" s="5">
        <v>5145</v>
      </c>
      <c r="D46" s="5">
        <v>88.2</v>
      </c>
      <c r="E46" s="5">
        <v>9.58</v>
      </c>
      <c r="F46" s="12">
        <v>0</v>
      </c>
      <c r="G46" s="12">
        <v>0</v>
      </c>
      <c r="H46" s="5">
        <v>595467.6</v>
      </c>
    </row>
    <row r="47" spans="1:8">
      <c r="A47" s="3" t="s">
        <v>33</v>
      </c>
      <c r="B47" s="5">
        <v>63630.21</v>
      </c>
      <c r="C47" s="5">
        <v>4460</v>
      </c>
      <c r="D47" s="5">
        <v>98.6</v>
      </c>
      <c r="E47" s="5">
        <v>5.52</v>
      </c>
      <c r="F47" s="12">
        <v>0</v>
      </c>
      <c r="G47" s="12">
        <v>0</v>
      </c>
      <c r="H47" s="5">
        <v>599603.4</v>
      </c>
    </row>
    <row r="48" spans="1:8">
      <c r="A48" s="3" t="s">
        <v>33</v>
      </c>
      <c r="B48" s="5">
        <v>50043.65</v>
      </c>
      <c r="C48" s="5">
        <v>3804</v>
      </c>
      <c r="D48" s="5">
        <v>90.9</v>
      </c>
      <c r="E48" s="5">
        <v>2.7</v>
      </c>
      <c r="F48" s="12">
        <v>0</v>
      </c>
      <c r="G48" s="12">
        <v>0</v>
      </c>
      <c r="H48" s="5">
        <v>614800.09</v>
      </c>
    </row>
    <row r="49" spans="1:8">
      <c r="A49" s="3" t="s">
        <v>33</v>
      </c>
      <c r="B49" s="5">
        <v>42093.84</v>
      </c>
      <c r="C49" s="5">
        <v>4074</v>
      </c>
      <c r="D49" s="5">
        <v>88</v>
      </c>
      <c r="E49" s="5">
        <v>9.64</v>
      </c>
      <c r="F49" s="12">
        <v>0</v>
      </c>
      <c r="G49" s="12">
        <v>0</v>
      </c>
      <c r="H49" s="5">
        <v>585365.73</v>
      </c>
    </row>
    <row r="50" spans="1:8">
      <c r="A50" s="3" t="s">
        <v>34</v>
      </c>
      <c r="B50" s="5">
        <v>46624.05</v>
      </c>
      <c r="C50" s="5">
        <v>5104</v>
      </c>
      <c r="D50" s="5">
        <v>97.3</v>
      </c>
      <c r="E50" s="5">
        <v>3.49</v>
      </c>
      <c r="F50" s="12">
        <v>0</v>
      </c>
      <c r="G50" s="12">
        <v>0</v>
      </c>
      <c r="H50" s="5">
        <v>622811.74</v>
      </c>
    </row>
    <row r="51" spans="1:8">
      <c r="A51" s="3" t="s">
        <v>34</v>
      </c>
      <c r="B51" s="5">
        <v>49710.29</v>
      </c>
      <c r="C51" s="5">
        <v>5559</v>
      </c>
      <c r="D51" s="5">
        <v>71</v>
      </c>
      <c r="E51" s="5">
        <v>9.11</v>
      </c>
      <c r="F51" s="12">
        <v>0</v>
      </c>
      <c r="G51" s="12">
        <v>0</v>
      </c>
      <c r="H51" s="5">
        <v>603297.56999999995</v>
      </c>
    </row>
    <row r="52" spans="1:8">
      <c r="A52" s="3" t="s">
        <v>34</v>
      </c>
      <c r="B52" s="5">
        <v>48287.85</v>
      </c>
      <c r="C52" s="5">
        <v>5150</v>
      </c>
      <c r="D52" s="5">
        <v>80.400000000000006</v>
      </c>
      <c r="E52" s="5">
        <v>7.4</v>
      </c>
      <c r="F52" s="12">
        <v>0</v>
      </c>
      <c r="G52" s="12">
        <v>0</v>
      </c>
      <c r="H52" s="5">
        <v>625672.86</v>
      </c>
    </row>
    <row r="53" spans="1:8">
      <c r="A53" s="3" t="s">
        <v>34</v>
      </c>
      <c r="B53" s="5">
        <v>65312.49</v>
      </c>
      <c r="C53" s="5">
        <v>7189</v>
      </c>
      <c r="D53" s="5">
        <v>93.7</v>
      </c>
      <c r="E53" s="5">
        <v>7.16</v>
      </c>
      <c r="F53" s="12">
        <v>0</v>
      </c>
      <c r="G53" s="12">
        <v>0</v>
      </c>
      <c r="H53" s="5">
        <v>773815.14</v>
      </c>
    </row>
    <row r="54" spans="1:8">
      <c r="A54" s="3" t="s">
        <v>35</v>
      </c>
      <c r="B54" s="5">
        <v>53015.46</v>
      </c>
      <c r="C54" s="5">
        <v>3279</v>
      </c>
      <c r="D54" s="5">
        <v>84.3</v>
      </c>
      <c r="E54" s="5">
        <v>22.02</v>
      </c>
      <c r="F54" s="12">
        <v>0</v>
      </c>
      <c r="G54" s="12">
        <v>1</v>
      </c>
      <c r="H54" s="5">
        <v>463534.25</v>
      </c>
    </row>
    <row r="55" spans="1:8">
      <c r="A55" s="3" t="s">
        <v>35</v>
      </c>
      <c r="B55" s="5">
        <v>99874.01</v>
      </c>
      <c r="C55" s="5">
        <v>5887</v>
      </c>
      <c r="D55" s="5">
        <v>88.7</v>
      </c>
      <c r="E55" s="5">
        <v>6.18</v>
      </c>
      <c r="F55" s="12">
        <v>0</v>
      </c>
      <c r="G55" s="12">
        <v>1</v>
      </c>
      <c r="H55" s="5">
        <v>746677.75</v>
      </c>
    </row>
    <row r="56" spans="1:8">
      <c r="A56" s="3" t="s">
        <v>35</v>
      </c>
      <c r="B56" s="5">
        <v>81195.5</v>
      </c>
      <c r="C56" s="5">
        <v>5516</v>
      </c>
      <c r="D56" s="5">
        <v>88</v>
      </c>
      <c r="E56" s="5">
        <v>1.76</v>
      </c>
      <c r="F56" s="12">
        <v>0</v>
      </c>
      <c r="G56" s="12">
        <v>1</v>
      </c>
      <c r="H56" s="5">
        <v>720852.5</v>
      </c>
    </row>
    <row r="57" spans="1:8">
      <c r="A57" s="3" t="s">
        <v>35</v>
      </c>
      <c r="B57" s="5">
        <v>27808.6</v>
      </c>
      <c r="C57" s="5">
        <v>2863</v>
      </c>
      <c r="D57" s="5">
        <v>89.3</v>
      </c>
      <c r="E57" s="5">
        <v>0.47</v>
      </c>
      <c r="F57" s="12">
        <v>0</v>
      </c>
      <c r="G57" s="12">
        <v>1</v>
      </c>
      <c r="H57" s="5">
        <v>487464.91</v>
      </c>
    </row>
    <row r="58" spans="1:8">
      <c r="A58" s="3" t="s">
        <v>36</v>
      </c>
      <c r="B58" s="5">
        <v>19365.060000000001</v>
      </c>
      <c r="C58" s="5">
        <v>2378</v>
      </c>
      <c r="D58" s="5">
        <v>94.8</v>
      </c>
      <c r="E58" s="5">
        <v>0.2</v>
      </c>
      <c r="F58" s="12">
        <v>0</v>
      </c>
      <c r="G58" s="12">
        <v>0</v>
      </c>
      <c r="H58" s="5">
        <v>518049.26</v>
      </c>
    </row>
    <row r="59" spans="1:8">
      <c r="A59" s="3" t="s">
        <v>36</v>
      </c>
      <c r="B59" s="5">
        <v>59405.68</v>
      </c>
      <c r="C59" s="5">
        <v>2515</v>
      </c>
      <c r="D59" s="5">
        <v>76</v>
      </c>
      <c r="E59" s="5">
        <v>5.1100000000000003</v>
      </c>
      <c r="F59" s="12">
        <v>0</v>
      </c>
      <c r="G59" s="12">
        <v>0</v>
      </c>
      <c r="H59" s="5">
        <v>500298.48</v>
      </c>
    </row>
    <row r="60" spans="1:8">
      <c r="A60" s="3" t="s">
        <v>36</v>
      </c>
      <c r="B60" s="5">
        <v>118910.48</v>
      </c>
      <c r="C60" s="5">
        <v>4022</v>
      </c>
      <c r="D60" s="5">
        <v>87.1</v>
      </c>
      <c r="E60" s="5">
        <v>0.2</v>
      </c>
      <c r="F60" s="12">
        <v>0</v>
      </c>
      <c r="G60" s="12">
        <v>0</v>
      </c>
      <c r="H60" s="5">
        <v>617291.15</v>
      </c>
    </row>
    <row r="61" spans="1:8">
      <c r="A61" s="3" t="s">
        <v>36</v>
      </c>
      <c r="B61" s="5">
        <v>52952.12</v>
      </c>
      <c r="C61" s="5">
        <v>4377</v>
      </c>
      <c r="D61" s="5">
        <v>88.6</v>
      </c>
      <c r="E61" s="5">
        <v>13.59</v>
      </c>
      <c r="F61" s="12">
        <v>0</v>
      </c>
      <c r="G61" s="12">
        <v>0</v>
      </c>
      <c r="H61" s="5">
        <v>553756.43000000005</v>
      </c>
    </row>
    <row r="62" spans="1:8">
      <c r="A62" s="3" t="s">
        <v>37</v>
      </c>
      <c r="B62" s="5">
        <v>74907.98</v>
      </c>
      <c r="C62" s="5">
        <v>5306</v>
      </c>
      <c r="D62" s="5">
        <v>95.6</v>
      </c>
      <c r="E62" s="5">
        <v>1.02</v>
      </c>
      <c r="F62" s="12">
        <v>1</v>
      </c>
      <c r="G62" s="12">
        <v>1</v>
      </c>
      <c r="H62" s="5">
        <v>749559.71</v>
      </c>
    </row>
    <row r="63" spans="1:8">
      <c r="A63" s="3" t="s">
        <v>37</v>
      </c>
      <c r="B63" s="5">
        <v>37284.660000000003</v>
      </c>
      <c r="C63" s="5">
        <v>3928</v>
      </c>
      <c r="D63" s="5">
        <v>86.5</v>
      </c>
      <c r="E63" s="5">
        <v>1.64</v>
      </c>
      <c r="F63" s="12">
        <v>1</v>
      </c>
      <c r="G63" s="12">
        <v>1</v>
      </c>
      <c r="H63" s="5">
        <v>615966.48</v>
      </c>
    </row>
    <row r="64" spans="1:8">
      <c r="A64" s="3" t="s">
        <v>37</v>
      </c>
      <c r="B64" s="5">
        <v>50343.19</v>
      </c>
      <c r="C64" s="5">
        <v>3845</v>
      </c>
      <c r="D64" s="5">
        <v>88.7</v>
      </c>
      <c r="E64" s="5">
        <v>5.15</v>
      </c>
      <c r="F64" s="12">
        <v>1</v>
      </c>
      <c r="G64" s="12">
        <v>1</v>
      </c>
      <c r="H64" s="5">
        <v>572011.19999999995</v>
      </c>
    </row>
    <row r="65" spans="1:8">
      <c r="A65" s="3" t="s">
        <v>37</v>
      </c>
      <c r="B65" s="5">
        <v>74954.47</v>
      </c>
      <c r="C65" s="5">
        <v>6620</v>
      </c>
      <c r="D65" s="5">
        <v>91.1</v>
      </c>
      <c r="E65" s="5">
        <v>1.1100000000000001</v>
      </c>
      <c r="F65" s="12">
        <v>1</v>
      </c>
      <c r="G65" s="12">
        <v>1</v>
      </c>
      <c r="H65" s="5">
        <v>761860.19</v>
      </c>
    </row>
    <row r="66" spans="1:8">
      <c r="A66" s="3" t="s">
        <v>38</v>
      </c>
      <c r="B66" s="5">
        <v>70040.31</v>
      </c>
      <c r="C66" s="5">
        <v>9175</v>
      </c>
      <c r="D66" s="5">
        <v>95.1</v>
      </c>
      <c r="E66" s="5">
        <v>6.08</v>
      </c>
      <c r="F66" s="12">
        <v>0</v>
      </c>
      <c r="G66" s="12">
        <v>1</v>
      </c>
      <c r="H66" s="5">
        <v>784502.68</v>
      </c>
    </row>
    <row r="67" spans="1:8">
      <c r="A67" s="3" t="s">
        <v>38</v>
      </c>
      <c r="B67" s="5">
        <v>51148.69</v>
      </c>
      <c r="C67" s="5">
        <v>7940</v>
      </c>
      <c r="D67" s="5">
        <v>93.3</v>
      </c>
      <c r="E67" s="5">
        <v>10.91</v>
      </c>
      <c r="F67" s="12">
        <v>0</v>
      </c>
      <c r="G67" s="12">
        <v>1</v>
      </c>
      <c r="H67" s="5">
        <v>717141.55</v>
      </c>
    </row>
    <row r="68" spans="1:8">
      <c r="A68" s="3" t="s">
        <v>38</v>
      </c>
      <c r="B68" s="5">
        <v>79346.100000000006</v>
      </c>
      <c r="C68" s="5">
        <v>9628</v>
      </c>
      <c r="D68" s="5">
        <v>99</v>
      </c>
      <c r="E68" s="5">
        <v>19.010000000000002</v>
      </c>
      <c r="F68" s="12">
        <v>0</v>
      </c>
      <c r="G68" s="12">
        <v>1</v>
      </c>
      <c r="H68" s="5">
        <v>685379.08</v>
      </c>
    </row>
    <row r="69" spans="1:8">
      <c r="A69" s="3" t="s">
        <v>38</v>
      </c>
      <c r="B69" s="5">
        <v>42018.400000000001</v>
      </c>
      <c r="C69" s="5">
        <v>8296</v>
      </c>
      <c r="D69" s="5">
        <v>91.8</v>
      </c>
      <c r="E69" s="5">
        <v>0.77</v>
      </c>
      <c r="F69" s="12">
        <v>0</v>
      </c>
      <c r="G69" s="12">
        <v>1</v>
      </c>
      <c r="H69" s="5">
        <v>740496.65</v>
      </c>
    </row>
    <row r="70" spans="1:8">
      <c r="A70" s="3" t="s">
        <v>39</v>
      </c>
      <c r="B70" s="5">
        <v>70937.240000000005</v>
      </c>
      <c r="C70" s="5">
        <v>3595</v>
      </c>
      <c r="D70" s="5">
        <v>88.9</v>
      </c>
      <c r="E70" s="5">
        <v>2.83</v>
      </c>
      <c r="F70" s="12">
        <v>0</v>
      </c>
      <c r="G70" s="12">
        <v>1</v>
      </c>
      <c r="H70" s="5">
        <v>661927.14</v>
      </c>
    </row>
    <row r="71" spans="1:8">
      <c r="A71" s="3" t="s">
        <v>39</v>
      </c>
      <c r="B71" s="5">
        <v>36813.449999999997</v>
      </c>
      <c r="C71" s="5">
        <v>2834</v>
      </c>
      <c r="D71" s="5">
        <v>81.8</v>
      </c>
      <c r="E71" s="5">
        <v>2.33</v>
      </c>
      <c r="F71" s="12">
        <v>0</v>
      </c>
      <c r="G71" s="12">
        <v>1</v>
      </c>
      <c r="H71" s="5">
        <v>479050.5</v>
      </c>
    </row>
    <row r="72" spans="1:8">
      <c r="A72" s="3" t="s">
        <v>39</v>
      </c>
      <c r="B72" s="5">
        <v>60571.82</v>
      </c>
      <c r="C72" s="5">
        <v>3193</v>
      </c>
      <c r="D72" s="5">
        <v>99</v>
      </c>
      <c r="E72" s="5">
        <v>1.43</v>
      </c>
      <c r="F72" s="12">
        <v>0</v>
      </c>
      <c r="G72" s="12">
        <v>1</v>
      </c>
      <c r="H72" s="5">
        <v>605023.87</v>
      </c>
    </row>
    <row r="73" spans="1:8">
      <c r="A73" s="3" t="s">
        <v>39</v>
      </c>
      <c r="B73" s="5">
        <v>55081.16</v>
      </c>
      <c r="C73" s="5">
        <v>5485</v>
      </c>
      <c r="D73" s="5">
        <v>88</v>
      </c>
      <c r="E73" s="5">
        <v>3.37</v>
      </c>
      <c r="F73" s="12">
        <v>0</v>
      </c>
      <c r="G73" s="12">
        <v>1</v>
      </c>
      <c r="H73" s="5">
        <v>674774.09</v>
      </c>
    </row>
    <row r="74" spans="1:8">
      <c r="A74" s="3" t="s">
        <v>40</v>
      </c>
      <c r="B74" s="5">
        <v>46201.46</v>
      </c>
      <c r="C74" s="5">
        <v>5918</v>
      </c>
      <c r="D74" s="5">
        <v>78.8</v>
      </c>
      <c r="E74" s="5">
        <v>4.91</v>
      </c>
      <c r="F74" s="12">
        <v>0</v>
      </c>
      <c r="G74" s="12">
        <v>0</v>
      </c>
      <c r="H74" s="5">
        <v>616069.41</v>
      </c>
    </row>
    <row r="75" spans="1:8">
      <c r="A75" s="3" t="s">
        <v>40</v>
      </c>
      <c r="B75" s="5">
        <v>53762.92</v>
      </c>
      <c r="C75" s="5">
        <v>6821</v>
      </c>
      <c r="D75" s="5">
        <v>94.6</v>
      </c>
      <c r="E75" s="5">
        <v>7.03</v>
      </c>
      <c r="F75" s="12">
        <v>0</v>
      </c>
      <c r="G75" s="12">
        <v>0</v>
      </c>
      <c r="H75" s="5">
        <v>630829.93999999994</v>
      </c>
    </row>
    <row r="76" spans="1:8">
      <c r="A76" s="3" t="s">
        <v>40</v>
      </c>
      <c r="B76" s="5">
        <v>70144.78</v>
      </c>
      <c r="C76" s="5">
        <v>6806</v>
      </c>
      <c r="D76" s="5">
        <v>93.1</v>
      </c>
      <c r="E76" s="5">
        <v>0.28000000000000003</v>
      </c>
      <c r="F76" s="12">
        <v>0</v>
      </c>
      <c r="G76" s="12">
        <v>0</v>
      </c>
      <c r="H76" s="5">
        <v>788087.68</v>
      </c>
    </row>
    <row r="77" spans="1:8">
      <c r="A77" s="3" t="s">
        <v>40</v>
      </c>
      <c r="B77" s="5">
        <v>58749.63</v>
      </c>
      <c r="C77" s="5">
        <v>8252</v>
      </c>
      <c r="D77" s="5">
        <v>85.2</v>
      </c>
      <c r="E77" s="5">
        <v>3.61</v>
      </c>
      <c r="F77" s="12">
        <v>0</v>
      </c>
      <c r="G77" s="12">
        <v>0</v>
      </c>
      <c r="H77" s="5">
        <v>680840.36</v>
      </c>
    </row>
    <row r="78" spans="1:8">
      <c r="A78" s="3" t="s">
        <v>41</v>
      </c>
      <c r="B78" s="5">
        <v>56973.18</v>
      </c>
      <c r="C78" s="5">
        <v>6662</v>
      </c>
      <c r="D78" s="5">
        <v>77.7</v>
      </c>
      <c r="E78" s="5">
        <v>7.52</v>
      </c>
      <c r="F78" s="12">
        <v>1</v>
      </c>
      <c r="G78" s="12">
        <v>1</v>
      </c>
      <c r="H78" s="5">
        <v>643657.47</v>
      </c>
    </row>
    <row r="79" spans="1:8">
      <c r="A79" s="3" t="s">
        <v>41</v>
      </c>
      <c r="B79" s="5">
        <v>54872.82</v>
      </c>
      <c r="C79" s="5">
        <v>5962</v>
      </c>
      <c r="D79" s="5">
        <v>85.4</v>
      </c>
      <c r="E79" s="5">
        <v>2.58</v>
      </c>
      <c r="F79" s="12">
        <v>1</v>
      </c>
      <c r="G79" s="12">
        <v>1</v>
      </c>
      <c r="H79" s="5">
        <v>691112.6</v>
      </c>
    </row>
    <row r="80" spans="1:8">
      <c r="A80" s="3" t="s">
        <v>41</v>
      </c>
      <c r="B80" s="5">
        <v>80562.81</v>
      </c>
      <c r="C80" s="5">
        <v>7470</v>
      </c>
      <c r="D80" s="5">
        <v>83.5</v>
      </c>
      <c r="E80" s="5">
        <v>2.29</v>
      </c>
      <c r="F80" s="12">
        <v>1</v>
      </c>
      <c r="G80" s="12">
        <v>1</v>
      </c>
      <c r="H80" s="5">
        <v>776922.17</v>
      </c>
    </row>
    <row r="81" spans="1:8">
      <c r="A81" s="3" t="s">
        <v>41</v>
      </c>
      <c r="B81" s="5">
        <v>77999.899999999994</v>
      </c>
      <c r="C81" s="5">
        <v>5974</v>
      </c>
      <c r="D81" s="5">
        <v>81.3</v>
      </c>
      <c r="E81" s="5">
        <v>2.39</v>
      </c>
      <c r="F81" s="12">
        <v>1</v>
      </c>
      <c r="G81" s="12">
        <v>1</v>
      </c>
      <c r="H81" s="5">
        <v>636561.34</v>
      </c>
    </row>
    <row r="82" spans="1:8">
      <c r="A82" s="3" t="s">
        <v>42</v>
      </c>
      <c r="B82" s="5">
        <v>60881.01</v>
      </c>
      <c r="C82" s="5">
        <v>5410</v>
      </c>
      <c r="D82" s="5">
        <v>83.9</v>
      </c>
      <c r="E82" s="5">
        <v>5.24</v>
      </c>
      <c r="F82" s="12">
        <v>0</v>
      </c>
      <c r="G82" s="12">
        <v>0</v>
      </c>
      <c r="H82" s="5">
        <v>621369.57999999996</v>
      </c>
    </row>
    <row r="83" spans="1:8">
      <c r="A83" s="3" t="s">
        <v>42</v>
      </c>
      <c r="B83" s="5">
        <v>60628.38</v>
      </c>
      <c r="C83" s="5">
        <v>4451</v>
      </c>
      <c r="D83" s="5">
        <v>89.6</v>
      </c>
      <c r="E83" s="5">
        <v>3.17</v>
      </c>
      <c r="F83" s="12">
        <v>0</v>
      </c>
      <c r="G83" s="12">
        <v>0</v>
      </c>
      <c r="H83" s="5">
        <v>682208.01</v>
      </c>
    </row>
    <row r="84" spans="1:8">
      <c r="A84" s="3" t="s">
        <v>42</v>
      </c>
      <c r="B84" s="5">
        <v>72731.14</v>
      </c>
      <c r="C84" s="5">
        <v>4644</v>
      </c>
      <c r="D84" s="5">
        <v>87.1</v>
      </c>
      <c r="E84" s="5">
        <v>2.66</v>
      </c>
      <c r="F84" s="12">
        <v>0</v>
      </c>
      <c r="G84" s="12">
        <v>0</v>
      </c>
      <c r="H84" s="5">
        <v>727241.86</v>
      </c>
    </row>
    <row r="85" spans="1:8">
      <c r="A85" s="3" t="s">
        <v>42</v>
      </c>
      <c r="B85" s="5">
        <v>36475.71</v>
      </c>
      <c r="C85" s="5">
        <v>3559</v>
      </c>
      <c r="D85" s="5">
        <v>83.6</v>
      </c>
      <c r="E85" s="5">
        <v>1.41</v>
      </c>
      <c r="F85" s="12">
        <v>0</v>
      </c>
      <c r="G85" s="12">
        <v>0</v>
      </c>
      <c r="H85" s="5">
        <v>569100.78</v>
      </c>
    </row>
    <row r="86" spans="1:8">
      <c r="A86" s="3" t="s">
        <v>43</v>
      </c>
      <c r="B86" s="5">
        <v>55388.11</v>
      </c>
      <c r="C86" s="5">
        <v>3091</v>
      </c>
      <c r="D86" s="5">
        <v>85.4</v>
      </c>
      <c r="E86" s="5">
        <v>7.34</v>
      </c>
      <c r="F86" s="12">
        <v>0</v>
      </c>
      <c r="G86" s="12">
        <v>1</v>
      </c>
      <c r="H86" s="5">
        <v>574436.29</v>
      </c>
    </row>
    <row r="87" spans="1:8">
      <c r="A87" s="3" t="s">
        <v>43</v>
      </c>
      <c r="B87" s="5">
        <v>88443.77</v>
      </c>
      <c r="C87" s="5">
        <v>4004</v>
      </c>
      <c r="D87" s="5">
        <v>91.9</v>
      </c>
      <c r="E87" s="5">
        <v>5.95</v>
      </c>
      <c r="F87" s="12">
        <v>0</v>
      </c>
      <c r="G87" s="12">
        <v>1</v>
      </c>
      <c r="H87" s="5">
        <v>611766.72</v>
      </c>
    </row>
    <row r="88" spans="1:8">
      <c r="A88" s="3" t="s">
        <v>43</v>
      </c>
      <c r="B88" s="5">
        <v>78231.91</v>
      </c>
      <c r="C88" s="5">
        <v>3788</v>
      </c>
      <c r="D88" s="5">
        <v>88.5</v>
      </c>
      <c r="E88" s="5">
        <v>15.51</v>
      </c>
      <c r="F88" s="12">
        <v>0</v>
      </c>
      <c r="G88" s="12">
        <v>1</v>
      </c>
      <c r="H88" s="5">
        <v>614596.31999999995</v>
      </c>
    </row>
    <row r="89" spans="1:8">
      <c r="A89" s="3" t="s">
        <v>43</v>
      </c>
      <c r="B89" s="5">
        <v>18996.32</v>
      </c>
      <c r="C89" s="5">
        <v>1260</v>
      </c>
      <c r="D89" s="5">
        <v>86.4</v>
      </c>
      <c r="E89" s="5">
        <v>4.3099999999999996</v>
      </c>
      <c r="F89" s="12">
        <v>0</v>
      </c>
      <c r="G89" s="12">
        <v>1</v>
      </c>
      <c r="H89" s="5">
        <v>450711.92</v>
      </c>
    </row>
    <row r="90" spans="1:8">
      <c r="A90" s="3" t="s">
        <v>44</v>
      </c>
      <c r="B90" s="5">
        <v>50517.94</v>
      </c>
      <c r="C90" s="5">
        <v>7024</v>
      </c>
      <c r="D90" s="5">
        <v>79.2</v>
      </c>
      <c r="E90" s="5">
        <v>6.61</v>
      </c>
      <c r="F90" s="12">
        <v>1</v>
      </c>
      <c r="G90" s="12">
        <v>0</v>
      </c>
      <c r="H90" s="5">
        <v>711213.46</v>
      </c>
    </row>
    <row r="91" spans="1:8">
      <c r="A91" s="3" t="s">
        <v>44</v>
      </c>
      <c r="B91" s="5">
        <v>141540.29</v>
      </c>
      <c r="C91" s="5">
        <v>5400</v>
      </c>
      <c r="D91" s="5">
        <v>87</v>
      </c>
      <c r="E91" s="5">
        <v>4.26</v>
      </c>
      <c r="F91" s="12">
        <v>1</v>
      </c>
      <c r="G91" s="12">
        <v>0</v>
      </c>
      <c r="H91" s="5">
        <v>627171.9</v>
      </c>
    </row>
    <row r="92" spans="1:8">
      <c r="A92" s="3" t="s">
        <v>44</v>
      </c>
      <c r="B92" s="5">
        <v>82116.19</v>
      </c>
      <c r="C92" s="5">
        <v>5988</v>
      </c>
      <c r="D92" s="5">
        <v>91.8</v>
      </c>
      <c r="E92" s="5">
        <v>5.75</v>
      </c>
      <c r="F92" s="12">
        <v>1</v>
      </c>
      <c r="G92" s="12">
        <v>0</v>
      </c>
      <c r="H92" s="5">
        <v>739852.58</v>
      </c>
    </row>
    <row r="93" spans="1:8">
      <c r="A93" s="3" t="s">
        <v>44</v>
      </c>
      <c r="B93" s="5">
        <v>31207.51</v>
      </c>
      <c r="C93" s="5">
        <v>3701</v>
      </c>
      <c r="D93" s="5">
        <v>84.7</v>
      </c>
      <c r="E93" s="5">
        <v>0.33</v>
      </c>
      <c r="F93" s="12">
        <v>1</v>
      </c>
      <c r="G93" s="12">
        <v>0</v>
      </c>
      <c r="H93" s="5">
        <v>586307.22</v>
      </c>
    </row>
    <row r="94" spans="1:8">
      <c r="A94" s="3" t="s">
        <v>45</v>
      </c>
      <c r="B94" s="5">
        <v>38966.589999999997</v>
      </c>
      <c r="C94" s="5">
        <v>4509</v>
      </c>
      <c r="D94" s="5">
        <v>91.1</v>
      </c>
      <c r="E94" s="5">
        <v>2.92</v>
      </c>
      <c r="F94" s="12">
        <v>0</v>
      </c>
      <c r="G94" s="12">
        <v>0</v>
      </c>
      <c r="H94" s="5">
        <v>585937.48</v>
      </c>
    </row>
    <row r="95" spans="1:8">
      <c r="A95" s="3" t="s">
        <v>45</v>
      </c>
      <c r="B95" s="5">
        <v>67439.3</v>
      </c>
      <c r="C95" s="5">
        <v>6477</v>
      </c>
      <c r="D95" s="5">
        <v>90.9</v>
      </c>
      <c r="E95" s="5">
        <v>1.64</v>
      </c>
      <c r="F95" s="12">
        <v>0</v>
      </c>
      <c r="G95" s="12">
        <v>0</v>
      </c>
      <c r="H95" s="5">
        <v>753473.55</v>
      </c>
    </row>
    <row r="96" spans="1:8">
      <c r="A96" s="3" t="s">
        <v>45</v>
      </c>
      <c r="B96" s="5">
        <v>86421.88</v>
      </c>
      <c r="C96" s="5">
        <v>7970</v>
      </c>
      <c r="D96" s="5">
        <v>91.3</v>
      </c>
      <c r="E96" s="5">
        <v>0.8</v>
      </c>
      <c r="F96" s="12">
        <v>0</v>
      </c>
      <c r="G96" s="12">
        <v>0</v>
      </c>
      <c r="H96" s="5">
        <v>838250.32</v>
      </c>
    </row>
    <row r="97" spans="1:8">
      <c r="A97" s="3" t="s">
        <v>45</v>
      </c>
      <c r="B97" s="5">
        <v>9534.65</v>
      </c>
      <c r="C97" s="5">
        <v>6057</v>
      </c>
      <c r="D97" s="5">
        <v>94.1</v>
      </c>
      <c r="E97" s="5">
        <v>5.79</v>
      </c>
      <c r="F97" s="12">
        <v>0</v>
      </c>
      <c r="G97" s="12">
        <v>0</v>
      </c>
      <c r="H97" s="5">
        <v>607898.12</v>
      </c>
    </row>
    <row r="98" spans="1:8">
      <c r="A98" s="3" t="s">
        <v>46</v>
      </c>
      <c r="B98" s="5">
        <v>61132.07</v>
      </c>
      <c r="C98" s="5">
        <v>6394</v>
      </c>
      <c r="D98" s="5">
        <v>91</v>
      </c>
      <c r="E98" s="5">
        <v>19.600000000000001</v>
      </c>
      <c r="F98" s="12">
        <v>0</v>
      </c>
      <c r="G98" s="12">
        <v>0</v>
      </c>
      <c r="H98" s="5">
        <v>691113.62</v>
      </c>
    </row>
    <row r="99" spans="1:8">
      <c r="A99" s="3" t="s">
        <v>46</v>
      </c>
      <c r="B99" s="5">
        <v>78839.39</v>
      </c>
      <c r="C99" s="5">
        <v>5150</v>
      </c>
      <c r="D99" s="5">
        <v>85.8</v>
      </c>
      <c r="E99" s="5">
        <v>7.57</v>
      </c>
      <c r="F99" s="12">
        <v>0</v>
      </c>
      <c r="G99" s="12">
        <v>0</v>
      </c>
      <c r="H99" s="5">
        <v>735509.4</v>
      </c>
    </row>
    <row r="100" spans="1:8">
      <c r="A100" s="3" t="s">
        <v>46</v>
      </c>
      <c r="B100" s="5">
        <v>38752.800000000003</v>
      </c>
      <c r="C100" s="5">
        <v>4712</v>
      </c>
      <c r="D100" s="5">
        <v>89.7</v>
      </c>
      <c r="E100" s="5">
        <v>3.37</v>
      </c>
      <c r="F100" s="12">
        <v>0</v>
      </c>
      <c r="G100" s="12">
        <v>0</v>
      </c>
      <c r="H100" s="5">
        <v>605775.32999999996</v>
      </c>
    </row>
    <row r="101" spans="1:8">
      <c r="A101" s="3" t="s">
        <v>46</v>
      </c>
      <c r="B101" s="5">
        <v>55101.1</v>
      </c>
      <c r="C101" s="5">
        <v>5281</v>
      </c>
      <c r="D101" s="5">
        <v>91</v>
      </c>
      <c r="E101" s="5">
        <v>2.7</v>
      </c>
      <c r="F101" s="12">
        <v>0</v>
      </c>
      <c r="G101" s="12">
        <v>0</v>
      </c>
      <c r="H101" s="5">
        <v>675177.68</v>
      </c>
    </row>
    <row r="102" spans="1:8">
      <c r="A102" s="3" t="s">
        <v>47</v>
      </c>
      <c r="B102" s="5">
        <v>53084.76</v>
      </c>
      <c r="C102" s="5">
        <v>3642</v>
      </c>
      <c r="D102" s="5">
        <v>91.4</v>
      </c>
      <c r="E102" s="5">
        <v>0.2</v>
      </c>
      <c r="F102" s="12">
        <v>0</v>
      </c>
      <c r="G102" s="12">
        <v>0</v>
      </c>
      <c r="H102" s="5">
        <v>635181.35</v>
      </c>
    </row>
    <row r="103" spans="1:8">
      <c r="A103" s="3" t="s">
        <v>47</v>
      </c>
      <c r="B103" s="5">
        <v>63101.59</v>
      </c>
      <c r="C103" s="5">
        <v>4373</v>
      </c>
      <c r="D103" s="5">
        <v>90.4</v>
      </c>
      <c r="E103" s="5">
        <v>7.87</v>
      </c>
      <c r="F103" s="12">
        <v>0</v>
      </c>
      <c r="G103" s="12">
        <v>0</v>
      </c>
      <c r="H103" s="5">
        <v>586626.93999999994</v>
      </c>
    </row>
    <row r="104" spans="1:8">
      <c r="A104" s="3" t="s">
        <v>47</v>
      </c>
      <c r="B104" s="5">
        <v>90084.4</v>
      </c>
      <c r="C104" s="5">
        <v>6832</v>
      </c>
      <c r="D104" s="5">
        <v>80.5</v>
      </c>
      <c r="E104" s="5">
        <v>0.77</v>
      </c>
      <c r="F104" s="12">
        <v>0</v>
      </c>
      <c r="G104" s="12">
        <v>0</v>
      </c>
      <c r="H104" s="5">
        <v>740102.64</v>
      </c>
    </row>
    <row r="105" spans="1:8">
      <c r="A105" s="3" t="s">
        <v>47</v>
      </c>
      <c r="B105" s="5">
        <v>32266.639999999999</v>
      </c>
      <c r="C105" s="5">
        <v>2414</v>
      </c>
      <c r="D105" s="5">
        <v>92.1</v>
      </c>
      <c r="E105" s="5">
        <v>1.48</v>
      </c>
      <c r="F105" s="12">
        <v>0</v>
      </c>
      <c r="G105" s="12">
        <v>0</v>
      </c>
      <c r="H105" s="5">
        <v>625514.04</v>
      </c>
    </row>
    <row r="106" spans="1:8">
      <c r="A106" s="3" t="s">
        <v>48</v>
      </c>
      <c r="B106" s="5">
        <v>57919.07</v>
      </c>
      <c r="C106" s="5">
        <v>7374</v>
      </c>
      <c r="D106" s="5">
        <v>82.3</v>
      </c>
      <c r="E106" s="5">
        <v>2.87</v>
      </c>
      <c r="F106" s="12">
        <v>0</v>
      </c>
      <c r="G106" s="12">
        <v>1</v>
      </c>
      <c r="H106" s="5">
        <v>727227.2</v>
      </c>
    </row>
    <row r="107" spans="1:8">
      <c r="A107" s="3" t="s">
        <v>48</v>
      </c>
      <c r="B107" s="5">
        <v>74679.350000000006</v>
      </c>
      <c r="C107" s="5">
        <v>8739</v>
      </c>
      <c r="D107" s="5">
        <v>91.8</v>
      </c>
      <c r="E107" s="5">
        <v>2.83</v>
      </c>
      <c r="F107" s="12">
        <v>0</v>
      </c>
      <c r="G107" s="12">
        <v>1</v>
      </c>
      <c r="H107" s="5">
        <v>783797.89</v>
      </c>
    </row>
    <row r="108" spans="1:8">
      <c r="A108" s="3" t="s">
        <v>48</v>
      </c>
      <c r="B108" s="5">
        <v>64294.23</v>
      </c>
      <c r="C108" s="5">
        <v>6992</v>
      </c>
      <c r="D108" s="5">
        <v>94.1</v>
      </c>
      <c r="E108" s="5">
        <v>0.25</v>
      </c>
      <c r="F108" s="12">
        <v>0</v>
      </c>
      <c r="G108" s="12">
        <v>1</v>
      </c>
      <c r="H108" s="5">
        <v>795153.84</v>
      </c>
    </row>
    <row r="109" spans="1:8">
      <c r="A109" s="3" t="s">
        <v>48</v>
      </c>
      <c r="B109" s="5">
        <v>31042.03</v>
      </c>
      <c r="C109" s="5">
        <v>7107</v>
      </c>
      <c r="D109" s="5">
        <v>87</v>
      </c>
      <c r="E109" s="5">
        <v>13.33</v>
      </c>
      <c r="F109" s="12">
        <v>0</v>
      </c>
      <c r="G109" s="12">
        <v>1</v>
      </c>
      <c r="H109" s="5">
        <v>665594.93999999994</v>
      </c>
    </row>
    <row r="110" spans="1:8">
      <c r="A110" s="3" t="s">
        <v>49</v>
      </c>
      <c r="B110" s="5">
        <v>75265.02</v>
      </c>
      <c r="C110" s="5">
        <v>6975</v>
      </c>
      <c r="D110" s="5">
        <v>73.8</v>
      </c>
      <c r="E110" s="5">
        <v>6.35</v>
      </c>
      <c r="F110" s="12">
        <v>0</v>
      </c>
      <c r="G110" s="12">
        <v>0</v>
      </c>
      <c r="H110" s="5">
        <v>709478.39</v>
      </c>
    </row>
    <row r="111" spans="1:8">
      <c r="A111" s="3" t="s">
        <v>49</v>
      </c>
      <c r="B111" s="5">
        <v>69411.7</v>
      </c>
      <c r="C111" s="5">
        <v>5493</v>
      </c>
      <c r="D111" s="5">
        <v>86.5</v>
      </c>
      <c r="E111" s="5">
        <v>6.69</v>
      </c>
      <c r="F111" s="12">
        <v>0</v>
      </c>
      <c r="G111" s="12">
        <v>0</v>
      </c>
      <c r="H111" s="5">
        <v>664162.49</v>
      </c>
    </row>
    <row r="112" spans="1:8">
      <c r="A112" s="3" t="s">
        <v>49</v>
      </c>
      <c r="B112" s="5">
        <v>51056.15</v>
      </c>
      <c r="C112" s="5">
        <v>5686</v>
      </c>
      <c r="D112" s="5">
        <v>89.9</v>
      </c>
      <c r="E112" s="5">
        <v>1.28</v>
      </c>
      <c r="F112" s="12">
        <v>0</v>
      </c>
      <c r="G112" s="12">
        <v>0</v>
      </c>
      <c r="H112" s="5">
        <v>633494.21</v>
      </c>
    </row>
    <row r="113" spans="1:8">
      <c r="A113" s="3" t="s">
        <v>49</v>
      </c>
      <c r="B113" s="5">
        <v>52758.01</v>
      </c>
      <c r="C113" s="5">
        <v>4063</v>
      </c>
      <c r="D113" s="5">
        <v>91.7</v>
      </c>
      <c r="E113" s="5">
        <v>0.92</v>
      </c>
      <c r="F113" s="12">
        <v>0</v>
      </c>
      <c r="G113" s="12">
        <v>0</v>
      </c>
      <c r="H113" s="5">
        <v>713611.16</v>
      </c>
    </row>
    <row r="114" spans="1:8">
      <c r="A114" s="3" t="s">
        <v>50</v>
      </c>
      <c r="B114" s="5">
        <v>61426.04</v>
      </c>
      <c r="C114" s="5">
        <v>8966</v>
      </c>
      <c r="D114" s="5">
        <v>76.400000000000006</v>
      </c>
      <c r="E114" s="5">
        <v>1.05</v>
      </c>
      <c r="F114" s="12">
        <v>0</v>
      </c>
      <c r="G114" s="12">
        <v>0</v>
      </c>
      <c r="H114" s="5">
        <v>778397.97</v>
      </c>
    </row>
    <row r="115" spans="1:8">
      <c r="A115" s="3" t="s">
        <v>50</v>
      </c>
      <c r="B115" s="5">
        <v>80176.34</v>
      </c>
      <c r="C115" s="5">
        <v>9489</v>
      </c>
      <c r="D115" s="5">
        <v>94.3</v>
      </c>
      <c r="E115" s="5">
        <v>2.67</v>
      </c>
      <c r="F115" s="12">
        <v>0</v>
      </c>
      <c r="G115" s="12">
        <v>0</v>
      </c>
      <c r="H115" s="5">
        <v>873380.02</v>
      </c>
    </row>
    <row r="116" spans="1:8">
      <c r="A116" s="3" t="s">
        <v>50</v>
      </c>
      <c r="B116" s="5">
        <v>33605.18</v>
      </c>
      <c r="C116" s="5">
        <v>9225</v>
      </c>
      <c r="D116" s="5">
        <v>88.4</v>
      </c>
      <c r="E116" s="5">
        <v>5.91</v>
      </c>
      <c r="F116" s="12">
        <v>0</v>
      </c>
      <c r="G116" s="12">
        <v>0</v>
      </c>
      <c r="H116" s="5">
        <v>697287.9</v>
      </c>
    </row>
    <row r="117" spans="1:8">
      <c r="A117" s="3" t="s">
        <v>50</v>
      </c>
      <c r="B117" s="5">
        <v>25990.54</v>
      </c>
      <c r="C117" s="5">
        <v>9249</v>
      </c>
      <c r="D117" s="5">
        <v>92.5</v>
      </c>
      <c r="E117" s="5">
        <v>6.37</v>
      </c>
      <c r="F117" s="12">
        <v>0</v>
      </c>
      <c r="G117" s="12">
        <v>0</v>
      </c>
      <c r="H117" s="5">
        <v>718074.79</v>
      </c>
    </row>
    <row r="118" spans="1:8">
      <c r="A118" s="3" t="s">
        <v>51</v>
      </c>
      <c r="B118" s="5">
        <v>43685.14</v>
      </c>
      <c r="C118" s="5">
        <v>7821</v>
      </c>
      <c r="D118" s="5">
        <v>91</v>
      </c>
      <c r="E118" s="5">
        <v>2.4900000000000002</v>
      </c>
      <c r="F118" s="12">
        <v>0</v>
      </c>
      <c r="G118" s="12">
        <v>0</v>
      </c>
      <c r="H118" s="5">
        <v>714942.43</v>
      </c>
    </row>
    <row r="119" spans="1:8">
      <c r="A119" s="3" t="s">
        <v>51</v>
      </c>
      <c r="B119" s="5">
        <v>57360.01</v>
      </c>
      <c r="C119" s="5">
        <v>8434</v>
      </c>
      <c r="D119" s="5">
        <v>84.1</v>
      </c>
      <c r="E119" s="5">
        <v>1.56</v>
      </c>
      <c r="F119" s="12">
        <v>0</v>
      </c>
      <c r="G119" s="12">
        <v>0</v>
      </c>
      <c r="H119" s="5">
        <v>820519.04</v>
      </c>
    </row>
    <row r="120" spans="1:8">
      <c r="A120" s="3" t="s">
        <v>51</v>
      </c>
      <c r="B120" s="5">
        <v>42415.47</v>
      </c>
      <c r="C120" s="5">
        <v>8512</v>
      </c>
      <c r="D120" s="5">
        <v>96.8</v>
      </c>
      <c r="E120" s="5">
        <v>14.95</v>
      </c>
      <c r="F120" s="12">
        <v>0</v>
      </c>
      <c r="G120" s="12">
        <v>0</v>
      </c>
      <c r="H120" s="5">
        <v>684217.32</v>
      </c>
    </row>
    <row r="121" spans="1:8">
      <c r="A121" s="3" t="s">
        <v>51</v>
      </c>
      <c r="B121" s="5">
        <v>54968.98</v>
      </c>
      <c r="C121" s="5">
        <v>7816</v>
      </c>
      <c r="D121" s="5">
        <v>95.7</v>
      </c>
      <c r="E121" s="5">
        <v>7.85</v>
      </c>
      <c r="F121" s="12">
        <v>0</v>
      </c>
      <c r="G121" s="12">
        <v>0</v>
      </c>
      <c r="H121" s="5">
        <v>735480.19</v>
      </c>
    </row>
    <row r="122" spans="1:8">
      <c r="A122" s="3" t="s">
        <v>52</v>
      </c>
      <c r="B122" s="5">
        <v>43896.13</v>
      </c>
      <c r="C122" s="5">
        <v>3853</v>
      </c>
      <c r="D122" s="5">
        <v>83</v>
      </c>
      <c r="E122" s="5">
        <v>6.8</v>
      </c>
      <c r="F122" s="12">
        <v>0</v>
      </c>
      <c r="G122" s="12">
        <v>1</v>
      </c>
      <c r="H122" s="5">
        <v>509484.81</v>
      </c>
    </row>
    <row r="123" spans="1:8">
      <c r="A123" s="3" t="s">
        <v>52</v>
      </c>
      <c r="B123" s="5">
        <v>83044.17</v>
      </c>
      <c r="C123" s="5">
        <v>3694</v>
      </c>
      <c r="D123" s="5">
        <v>89.4</v>
      </c>
      <c r="E123" s="5">
        <v>2.2000000000000002</v>
      </c>
      <c r="F123" s="12">
        <v>0</v>
      </c>
      <c r="G123" s="12">
        <v>1</v>
      </c>
      <c r="H123" s="5">
        <v>654317.09</v>
      </c>
    </row>
    <row r="124" spans="1:8">
      <c r="A124" s="3" t="s">
        <v>52</v>
      </c>
      <c r="B124" s="5">
        <v>48396.13</v>
      </c>
      <c r="C124" s="5">
        <v>4423</v>
      </c>
      <c r="D124" s="5">
        <v>85.7</v>
      </c>
      <c r="E124" s="5">
        <v>1.88</v>
      </c>
      <c r="F124" s="12">
        <v>0</v>
      </c>
      <c r="G124" s="12">
        <v>1</v>
      </c>
      <c r="H124" s="5">
        <v>557487.26</v>
      </c>
    </row>
    <row r="125" spans="1:8">
      <c r="A125" s="3" t="s">
        <v>52</v>
      </c>
      <c r="B125" s="5">
        <v>19063.48</v>
      </c>
      <c r="C125" s="5">
        <v>1906</v>
      </c>
      <c r="D125" s="5">
        <v>97.8</v>
      </c>
      <c r="E125" s="5">
        <v>15.79</v>
      </c>
      <c r="F125" s="12">
        <v>0</v>
      </c>
      <c r="G125" s="12">
        <v>1</v>
      </c>
      <c r="H125" s="5">
        <v>441275.42</v>
      </c>
    </row>
    <row r="126" spans="1:8">
      <c r="A126" s="3" t="s">
        <v>53</v>
      </c>
      <c r="B126" s="5">
        <v>61541.21</v>
      </c>
      <c r="C126" s="5">
        <v>10396</v>
      </c>
      <c r="D126" s="5">
        <v>88.1</v>
      </c>
      <c r="E126" s="5">
        <v>2.34</v>
      </c>
      <c r="F126" s="12">
        <v>1</v>
      </c>
      <c r="G126" s="12">
        <v>1</v>
      </c>
      <c r="H126" s="5">
        <v>914544.17</v>
      </c>
    </row>
    <row r="127" spans="1:8">
      <c r="A127" s="3" t="s">
        <v>53</v>
      </c>
      <c r="B127" s="5">
        <v>44747</v>
      </c>
      <c r="C127" s="5">
        <v>11076</v>
      </c>
      <c r="D127" s="5">
        <v>98.3</v>
      </c>
      <c r="E127" s="5">
        <v>0.54</v>
      </c>
      <c r="F127" s="12">
        <v>1</v>
      </c>
      <c r="G127" s="12">
        <v>1</v>
      </c>
      <c r="H127" s="5">
        <v>842439.67</v>
      </c>
    </row>
    <row r="128" spans="1:8">
      <c r="A128" s="3" t="s">
        <v>53</v>
      </c>
      <c r="B128" s="5">
        <v>56517.9</v>
      </c>
      <c r="C128" s="5">
        <v>9574</v>
      </c>
      <c r="D128" s="5">
        <v>88.2</v>
      </c>
      <c r="E128" s="5">
        <v>5.37</v>
      </c>
      <c r="F128" s="12">
        <v>1</v>
      </c>
      <c r="G128" s="12">
        <v>1</v>
      </c>
      <c r="H128" s="5">
        <v>842157.92</v>
      </c>
    </row>
    <row r="129" spans="1:8">
      <c r="A129" s="3" t="s">
        <v>53</v>
      </c>
      <c r="B129" s="5">
        <v>37828.5</v>
      </c>
      <c r="C129" s="5">
        <v>8221</v>
      </c>
      <c r="D129" s="5">
        <v>81.5</v>
      </c>
      <c r="E129" s="5">
        <v>3.19</v>
      </c>
      <c r="F129" s="12">
        <v>1</v>
      </c>
      <c r="G129" s="12">
        <v>1</v>
      </c>
      <c r="H129" s="5">
        <v>697155.3</v>
      </c>
    </row>
    <row r="130" spans="1:8">
      <c r="A130" s="3" t="s">
        <v>54</v>
      </c>
      <c r="B130" s="5">
        <v>66250.53</v>
      </c>
      <c r="C130" s="5">
        <v>10618</v>
      </c>
      <c r="D130" s="5">
        <v>88.3</v>
      </c>
      <c r="E130" s="5">
        <v>1.1000000000000001</v>
      </c>
      <c r="F130" s="12">
        <v>0</v>
      </c>
      <c r="G130" s="12">
        <v>1</v>
      </c>
      <c r="H130" s="5">
        <v>849018.3</v>
      </c>
    </row>
    <row r="131" spans="1:8">
      <c r="A131" s="3" t="s">
        <v>54</v>
      </c>
      <c r="B131" s="5">
        <v>68410.929999999993</v>
      </c>
      <c r="C131" s="5">
        <v>10596</v>
      </c>
      <c r="D131" s="5">
        <v>81.2</v>
      </c>
      <c r="E131" s="5">
        <v>0.21</v>
      </c>
      <c r="F131" s="12">
        <v>0</v>
      </c>
      <c r="G131" s="12">
        <v>1</v>
      </c>
      <c r="H131" s="5">
        <v>801830.35</v>
      </c>
    </row>
    <row r="132" spans="1:8">
      <c r="A132" s="3" t="s">
        <v>54</v>
      </c>
      <c r="B132" s="5">
        <v>50735.63</v>
      </c>
      <c r="C132" s="5">
        <v>9619</v>
      </c>
      <c r="D132" s="5">
        <v>93.8</v>
      </c>
      <c r="E132" s="5">
        <v>5.12</v>
      </c>
      <c r="F132" s="12">
        <v>0</v>
      </c>
      <c r="G132" s="12">
        <v>1</v>
      </c>
      <c r="H132" s="5">
        <v>725235.28</v>
      </c>
    </row>
    <row r="133" spans="1:8">
      <c r="A133" s="3" t="s">
        <v>54</v>
      </c>
      <c r="B133" s="5">
        <v>66455.8</v>
      </c>
      <c r="C133" s="5">
        <v>10836</v>
      </c>
      <c r="D133" s="5">
        <v>85</v>
      </c>
      <c r="E133" s="5">
        <v>9.77</v>
      </c>
      <c r="F133" s="12">
        <v>0</v>
      </c>
      <c r="G133" s="12">
        <v>1</v>
      </c>
      <c r="H133" s="5">
        <v>811452.72</v>
      </c>
    </row>
    <row r="134" spans="1:8">
      <c r="A134" s="3" t="s">
        <v>55</v>
      </c>
      <c r="B134" s="5">
        <v>70276.28</v>
      </c>
      <c r="C134" s="5">
        <v>3043</v>
      </c>
      <c r="D134" s="5">
        <v>87.9</v>
      </c>
      <c r="E134" s="5">
        <v>3.77</v>
      </c>
      <c r="F134" s="12">
        <v>0</v>
      </c>
      <c r="G134" s="12">
        <v>1</v>
      </c>
      <c r="H134" s="5">
        <v>527300.13</v>
      </c>
    </row>
    <row r="135" spans="1:8">
      <c r="A135" s="3" t="s">
        <v>55</v>
      </c>
      <c r="B135" s="5">
        <v>22071.64</v>
      </c>
      <c r="C135" s="5">
        <v>1814</v>
      </c>
      <c r="D135" s="5">
        <v>81.099999999999994</v>
      </c>
      <c r="E135" s="5">
        <v>0.78</v>
      </c>
      <c r="F135" s="12">
        <v>0</v>
      </c>
      <c r="G135" s="12">
        <v>1</v>
      </c>
      <c r="H135" s="5">
        <v>400831.65</v>
      </c>
    </row>
    <row r="136" spans="1:8">
      <c r="A136" s="3" t="s">
        <v>55</v>
      </c>
      <c r="B136" s="5">
        <v>52285.45</v>
      </c>
      <c r="C136" s="5">
        <v>3618</v>
      </c>
      <c r="D136" s="5">
        <v>95.6</v>
      </c>
      <c r="E136" s="5">
        <v>5.17</v>
      </c>
      <c r="F136" s="12">
        <v>0</v>
      </c>
      <c r="G136" s="12">
        <v>1</v>
      </c>
      <c r="H136" s="5">
        <v>593247.25</v>
      </c>
    </row>
    <row r="137" spans="1:8">
      <c r="A137" s="3" t="s">
        <v>55</v>
      </c>
      <c r="B137" s="5">
        <v>70366.759999999995</v>
      </c>
      <c r="C137" s="5">
        <v>1963</v>
      </c>
      <c r="D137" s="5">
        <v>89.8</v>
      </c>
      <c r="E137" s="5">
        <v>3.2</v>
      </c>
      <c r="F137" s="12">
        <v>0</v>
      </c>
      <c r="G137" s="12">
        <v>1</v>
      </c>
      <c r="H137" s="5">
        <v>529075.94999999995</v>
      </c>
    </row>
    <row r="138" spans="1:8">
      <c r="A138" s="3" t="s">
        <v>56</v>
      </c>
      <c r="B138" s="5">
        <v>71320.66</v>
      </c>
      <c r="C138" s="5">
        <v>7888</v>
      </c>
      <c r="D138" s="5">
        <v>78.099999999999994</v>
      </c>
      <c r="E138" s="5">
        <v>3.4</v>
      </c>
      <c r="F138" s="12">
        <v>1</v>
      </c>
      <c r="G138" s="12">
        <v>0</v>
      </c>
      <c r="H138" s="5">
        <v>633638.03</v>
      </c>
    </row>
    <row r="139" spans="1:8">
      <c r="A139" s="3" t="s">
        <v>56</v>
      </c>
      <c r="B139" s="5">
        <v>75109.67</v>
      </c>
      <c r="C139" s="5">
        <v>6244</v>
      </c>
      <c r="D139" s="5">
        <v>96.3</v>
      </c>
      <c r="E139" s="5">
        <v>7.38</v>
      </c>
      <c r="F139" s="12">
        <v>1</v>
      </c>
      <c r="G139" s="12">
        <v>0</v>
      </c>
      <c r="H139" s="5">
        <v>743348.84</v>
      </c>
    </row>
    <row r="140" spans="1:8">
      <c r="A140" s="3" t="s">
        <v>56</v>
      </c>
      <c r="B140" s="5">
        <v>69779</v>
      </c>
      <c r="C140" s="5">
        <v>6544</v>
      </c>
      <c r="D140" s="5">
        <v>90.2</v>
      </c>
      <c r="E140" s="5">
        <v>0.85</v>
      </c>
      <c r="F140" s="12">
        <v>1</v>
      </c>
      <c r="G140" s="12">
        <v>0</v>
      </c>
      <c r="H140" s="5">
        <v>758827.64</v>
      </c>
    </row>
    <row r="141" spans="1:8">
      <c r="A141" s="3" t="s">
        <v>56</v>
      </c>
      <c r="B141" s="5">
        <v>44211.95</v>
      </c>
      <c r="C141" s="5">
        <v>5465</v>
      </c>
      <c r="D141" s="5">
        <v>90</v>
      </c>
      <c r="E141" s="5">
        <v>2.89</v>
      </c>
      <c r="F141" s="12">
        <v>1</v>
      </c>
      <c r="G141" s="12">
        <v>0</v>
      </c>
      <c r="H141" s="5">
        <v>646559.71</v>
      </c>
    </row>
    <row r="142" spans="1:8">
      <c r="A142" s="3" t="s">
        <v>57</v>
      </c>
      <c r="B142" s="5">
        <v>51430.31</v>
      </c>
      <c r="C142" s="5">
        <v>6427</v>
      </c>
      <c r="D142" s="5">
        <v>88.8</v>
      </c>
      <c r="E142" s="5">
        <v>0.77</v>
      </c>
      <c r="F142" s="12">
        <v>0</v>
      </c>
      <c r="G142" s="12">
        <v>1</v>
      </c>
      <c r="H142" s="5">
        <v>715890.53</v>
      </c>
    </row>
    <row r="143" spans="1:8">
      <c r="A143" s="3" t="s">
        <v>57</v>
      </c>
      <c r="B143" s="5">
        <v>45706.49</v>
      </c>
      <c r="C143" s="5">
        <v>6704</v>
      </c>
      <c r="D143" s="5">
        <v>94.2</v>
      </c>
      <c r="E143" s="5">
        <v>2.92</v>
      </c>
      <c r="F143" s="12">
        <v>0</v>
      </c>
      <c r="G143" s="12">
        <v>1</v>
      </c>
      <c r="H143" s="5">
        <v>715097.57</v>
      </c>
    </row>
    <row r="144" spans="1:8">
      <c r="A144" s="3" t="s">
        <v>57</v>
      </c>
      <c r="B144" s="5">
        <v>44034.6</v>
      </c>
      <c r="C144" s="5">
        <v>5645</v>
      </c>
      <c r="D144" s="5">
        <v>88.5</v>
      </c>
      <c r="E144" s="5">
        <v>3.07</v>
      </c>
      <c r="F144" s="12">
        <v>0</v>
      </c>
      <c r="G144" s="12">
        <v>1</v>
      </c>
      <c r="H144" s="5">
        <v>682639.28</v>
      </c>
    </row>
    <row r="145" spans="1:8">
      <c r="A145" s="3" t="s">
        <v>57</v>
      </c>
      <c r="B145" s="5">
        <v>50198.12</v>
      </c>
      <c r="C145" s="5">
        <v>6089</v>
      </c>
      <c r="D145" s="5">
        <v>94</v>
      </c>
      <c r="E145" s="5">
        <v>9.6999999999999993</v>
      </c>
      <c r="F145" s="12">
        <v>0</v>
      </c>
      <c r="G145" s="12">
        <v>1</v>
      </c>
      <c r="H145" s="5">
        <v>695098.51</v>
      </c>
    </row>
    <row r="146" spans="1:8">
      <c r="A146" s="3" t="s">
        <v>58</v>
      </c>
      <c r="B146" s="5">
        <v>70488.2</v>
      </c>
      <c r="C146" s="5">
        <v>4312</v>
      </c>
      <c r="D146" s="5">
        <v>90.2</v>
      </c>
      <c r="E146" s="5">
        <v>3.71</v>
      </c>
      <c r="F146" s="12">
        <v>0</v>
      </c>
      <c r="G146" s="12">
        <v>0</v>
      </c>
      <c r="H146" s="5">
        <v>577732.56999999995</v>
      </c>
    </row>
    <row r="147" spans="1:8">
      <c r="A147" s="3" t="s">
        <v>58</v>
      </c>
      <c r="B147" s="5">
        <v>50909.27</v>
      </c>
      <c r="C147" s="5">
        <v>3152</v>
      </c>
      <c r="D147" s="5">
        <v>93.7</v>
      </c>
      <c r="E147" s="5">
        <v>10.79</v>
      </c>
      <c r="F147" s="12">
        <v>0</v>
      </c>
      <c r="G147" s="12">
        <v>0</v>
      </c>
      <c r="H147" s="5">
        <v>537058.32999999996</v>
      </c>
    </row>
    <row r="148" spans="1:8">
      <c r="A148" s="3" t="s">
        <v>58</v>
      </c>
      <c r="B148" s="5">
        <v>53351.7</v>
      </c>
      <c r="C148" s="5">
        <v>4259</v>
      </c>
      <c r="D148" s="5">
        <v>93.7</v>
      </c>
      <c r="E148" s="5">
        <v>6.03</v>
      </c>
      <c r="F148" s="12">
        <v>0</v>
      </c>
      <c r="G148" s="12">
        <v>0</v>
      </c>
      <c r="H148" s="5">
        <v>601568.87</v>
      </c>
    </row>
    <row r="149" spans="1:8">
      <c r="A149" s="3" t="s">
        <v>58</v>
      </c>
      <c r="B149" s="5">
        <v>60322.400000000001</v>
      </c>
      <c r="C149" s="5">
        <v>3350</v>
      </c>
      <c r="D149" s="5">
        <v>89.4</v>
      </c>
      <c r="E149" s="5">
        <v>4.92</v>
      </c>
      <c r="F149" s="12">
        <v>0</v>
      </c>
      <c r="G149" s="12">
        <v>0</v>
      </c>
      <c r="H149" s="5">
        <v>570964.84</v>
      </c>
    </row>
    <row r="150" spans="1:8">
      <c r="A150" s="3" t="s">
        <v>59</v>
      </c>
      <c r="B150" s="5">
        <v>51575.68</v>
      </c>
      <c r="C150" s="5">
        <v>5329</v>
      </c>
      <c r="D150" s="5">
        <v>88.1</v>
      </c>
      <c r="E150" s="5">
        <v>19.78</v>
      </c>
      <c r="F150" s="12">
        <v>1</v>
      </c>
      <c r="G150" s="12">
        <v>0</v>
      </c>
      <c r="H150" s="5">
        <v>614024.91</v>
      </c>
    </row>
    <row r="151" spans="1:8">
      <c r="A151" s="3" t="s">
        <v>59</v>
      </c>
      <c r="B151" s="5">
        <v>43319.94</v>
      </c>
      <c r="C151" s="5">
        <v>6551</v>
      </c>
      <c r="D151" s="5">
        <v>99</v>
      </c>
      <c r="E151" s="5">
        <v>5.45</v>
      </c>
      <c r="F151" s="12">
        <v>1</v>
      </c>
      <c r="G151" s="12">
        <v>0</v>
      </c>
      <c r="H151" s="5">
        <v>712868.35</v>
      </c>
    </row>
    <row r="152" spans="1:8">
      <c r="A152" s="3" t="s">
        <v>59</v>
      </c>
      <c r="B152" s="5">
        <v>47093.55</v>
      </c>
      <c r="C152" s="5">
        <v>5550</v>
      </c>
      <c r="D152" s="5">
        <v>95</v>
      </c>
      <c r="E152" s="5">
        <v>2.33</v>
      </c>
      <c r="F152" s="12">
        <v>1</v>
      </c>
      <c r="G152" s="12">
        <v>0</v>
      </c>
      <c r="H152" s="5">
        <v>696744.15</v>
      </c>
    </row>
    <row r="153" spans="1:8">
      <c r="A153" s="3" t="s">
        <v>59</v>
      </c>
      <c r="B153" s="5">
        <v>71855.09</v>
      </c>
      <c r="C153" s="5">
        <v>5911</v>
      </c>
      <c r="D153" s="5">
        <v>94.3</v>
      </c>
      <c r="E153" s="5">
        <v>3.55</v>
      </c>
      <c r="F153" s="12">
        <v>1</v>
      </c>
      <c r="G153" s="12">
        <v>0</v>
      </c>
      <c r="H153" s="5">
        <v>725847.99</v>
      </c>
    </row>
    <row r="154" spans="1:8">
      <c r="A154" s="3" t="s">
        <v>60</v>
      </c>
      <c r="B154" s="5">
        <v>75645.23</v>
      </c>
      <c r="C154" s="5">
        <v>9674</v>
      </c>
      <c r="D154" s="5">
        <v>87.4</v>
      </c>
      <c r="E154" s="5">
        <v>0.2</v>
      </c>
      <c r="F154" s="12">
        <v>0</v>
      </c>
      <c r="G154" s="12">
        <v>1</v>
      </c>
      <c r="H154" s="5">
        <v>785028.25</v>
      </c>
    </row>
    <row r="155" spans="1:8">
      <c r="A155" s="3" t="s">
        <v>60</v>
      </c>
      <c r="B155" s="5">
        <v>64374.75</v>
      </c>
      <c r="C155" s="5">
        <v>6740</v>
      </c>
      <c r="D155" s="5">
        <v>87</v>
      </c>
      <c r="E155" s="5">
        <v>2.09</v>
      </c>
      <c r="F155" s="12">
        <v>0</v>
      </c>
      <c r="G155" s="12">
        <v>1</v>
      </c>
      <c r="H155" s="5">
        <v>698492.67</v>
      </c>
    </row>
    <row r="156" spans="1:8">
      <c r="A156" s="3" t="s">
        <v>60</v>
      </c>
      <c r="B156" s="5">
        <v>61433.84</v>
      </c>
      <c r="C156" s="5">
        <v>7745</v>
      </c>
      <c r="D156" s="5">
        <v>90.5</v>
      </c>
      <c r="E156" s="5">
        <v>2.2599999999999998</v>
      </c>
      <c r="F156" s="12">
        <v>0</v>
      </c>
      <c r="G156" s="12">
        <v>1</v>
      </c>
      <c r="H156" s="5">
        <v>685830.24</v>
      </c>
    </row>
    <row r="157" spans="1:8">
      <c r="A157" s="3" t="s">
        <v>60</v>
      </c>
      <c r="B157" s="5">
        <v>42698.14</v>
      </c>
      <c r="C157" s="5">
        <v>7693</v>
      </c>
      <c r="D157" s="5">
        <v>90.1</v>
      </c>
      <c r="E157" s="5">
        <v>0.44</v>
      </c>
      <c r="F157" s="12">
        <v>0</v>
      </c>
      <c r="G157" s="12">
        <v>1</v>
      </c>
      <c r="H157" s="5">
        <v>702318.94</v>
      </c>
    </row>
    <row r="158" spans="1:8">
      <c r="A158" s="3" t="s">
        <v>61</v>
      </c>
      <c r="B158" s="5">
        <v>86883.31</v>
      </c>
      <c r="C158" s="5">
        <v>6424</v>
      </c>
      <c r="D158" s="5">
        <v>85.2</v>
      </c>
      <c r="E158" s="5">
        <v>3.08</v>
      </c>
      <c r="F158" s="12">
        <v>0</v>
      </c>
      <c r="G158" s="12">
        <v>0</v>
      </c>
      <c r="H158" s="5">
        <v>700078.32</v>
      </c>
    </row>
    <row r="159" spans="1:8">
      <c r="A159" s="3" t="s">
        <v>61</v>
      </c>
      <c r="B159" s="5">
        <v>41863.08</v>
      </c>
      <c r="C159" s="5">
        <v>5400</v>
      </c>
      <c r="D159" s="5">
        <v>91.6</v>
      </c>
      <c r="E159" s="5">
        <v>7.99</v>
      </c>
      <c r="F159" s="12">
        <v>0</v>
      </c>
      <c r="G159" s="12">
        <v>0</v>
      </c>
      <c r="H159" s="5">
        <v>602002.31999999995</v>
      </c>
    </row>
    <row r="160" spans="1:8">
      <c r="A160" s="3" t="s">
        <v>61</v>
      </c>
      <c r="B160" s="5">
        <v>56918.16</v>
      </c>
      <c r="C160" s="5">
        <v>7015</v>
      </c>
      <c r="D160" s="5">
        <v>74.2</v>
      </c>
      <c r="E160" s="5">
        <v>0.2</v>
      </c>
      <c r="F160" s="12">
        <v>0</v>
      </c>
      <c r="G160" s="12">
        <v>0</v>
      </c>
      <c r="H160" s="5">
        <v>724216.07</v>
      </c>
    </row>
    <row r="161" spans="1:8">
      <c r="A161" s="3" t="s">
        <v>61</v>
      </c>
      <c r="B161" s="5">
        <v>23254.57</v>
      </c>
      <c r="C161" s="5">
        <v>3847</v>
      </c>
      <c r="D161" s="5">
        <v>93</v>
      </c>
      <c r="E161" s="5">
        <v>5.46</v>
      </c>
      <c r="F161" s="12">
        <v>0</v>
      </c>
      <c r="G161" s="12">
        <v>0</v>
      </c>
      <c r="H161" s="5">
        <v>620973.03</v>
      </c>
    </row>
    <row r="162" spans="1:8">
      <c r="A162" s="3" t="s">
        <v>62</v>
      </c>
      <c r="B162" s="5">
        <v>41443.410000000003</v>
      </c>
      <c r="C162" s="5">
        <v>7455</v>
      </c>
      <c r="D162" s="5">
        <v>90.1</v>
      </c>
      <c r="E162" s="5">
        <v>4.05</v>
      </c>
      <c r="F162" s="12">
        <v>1</v>
      </c>
      <c r="G162" s="12">
        <v>1</v>
      </c>
      <c r="H162" s="5">
        <v>650480.06000000006</v>
      </c>
    </row>
    <row r="163" spans="1:8">
      <c r="A163" s="3" t="s">
        <v>62</v>
      </c>
      <c r="B163" s="5">
        <v>48438.85</v>
      </c>
      <c r="C163" s="5">
        <v>6992</v>
      </c>
      <c r="D163" s="5">
        <v>91</v>
      </c>
      <c r="E163" s="5">
        <v>4.3600000000000003</v>
      </c>
      <c r="F163" s="12">
        <v>1</v>
      </c>
      <c r="G163" s="12">
        <v>1</v>
      </c>
      <c r="H163" s="5">
        <v>778298.88</v>
      </c>
    </row>
    <row r="164" spans="1:8">
      <c r="A164" s="3" t="s">
        <v>62</v>
      </c>
      <c r="B164" s="5">
        <v>57143.3</v>
      </c>
      <c r="C164" s="5">
        <v>8038</v>
      </c>
      <c r="D164" s="5">
        <v>72.599999999999994</v>
      </c>
      <c r="E164" s="5">
        <v>3.37</v>
      </c>
      <c r="F164" s="12">
        <v>1</v>
      </c>
      <c r="G164" s="12">
        <v>1</v>
      </c>
      <c r="H164" s="5">
        <v>677096.71</v>
      </c>
    </row>
    <row r="165" spans="1:8">
      <c r="A165" s="3" t="s">
        <v>62</v>
      </c>
      <c r="B165" s="5">
        <v>66870.62</v>
      </c>
      <c r="C165" s="5">
        <v>6055</v>
      </c>
      <c r="D165" s="5">
        <v>93.8</v>
      </c>
      <c r="E165" s="5">
        <v>0.54</v>
      </c>
      <c r="F165" s="12">
        <v>1</v>
      </c>
      <c r="G165" s="12">
        <v>1</v>
      </c>
      <c r="H165" s="5">
        <v>692008.64</v>
      </c>
    </row>
    <row r="166" spans="1:8">
      <c r="A166" s="3" t="s">
        <v>63</v>
      </c>
      <c r="B166" s="5">
        <v>72150.53</v>
      </c>
      <c r="C166" s="5">
        <v>9323</v>
      </c>
      <c r="D166" s="5">
        <v>82.9</v>
      </c>
      <c r="E166" s="5">
        <v>11.37</v>
      </c>
      <c r="F166" s="12">
        <v>0</v>
      </c>
      <c r="G166" s="12">
        <v>0</v>
      </c>
      <c r="H166" s="5">
        <v>825797.91</v>
      </c>
    </row>
    <row r="167" spans="1:8">
      <c r="A167" s="3" t="s">
        <v>63</v>
      </c>
      <c r="B167" s="5">
        <v>35303.300000000003</v>
      </c>
      <c r="C167" s="5">
        <v>8789</v>
      </c>
      <c r="D167" s="5">
        <v>86.1</v>
      </c>
      <c r="E167" s="5">
        <v>9.43</v>
      </c>
      <c r="F167" s="12">
        <v>0</v>
      </c>
      <c r="G167" s="12">
        <v>0</v>
      </c>
      <c r="H167" s="5">
        <v>706285.52</v>
      </c>
    </row>
    <row r="168" spans="1:8">
      <c r="A168" s="3" t="s">
        <v>63</v>
      </c>
      <c r="B168" s="5">
        <v>30301.86</v>
      </c>
      <c r="C168" s="5">
        <v>6939</v>
      </c>
      <c r="D168" s="5">
        <v>90.3</v>
      </c>
      <c r="E168" s="5">
        <v>3.49</v>
      </c>
      <c r="F168" s="12">
        <v>0</v>
      </c>
      <c r="G168" s="12">
        <v>0</v>
      </c>
      <c r="H168" s="5">
        <v>665534.69999999995</v>
      </c>
    </row>
    <row r="169" spans="1:8">
      <c r="A169" s="3" t="s">
        <v>63</v>
      </c>
      <c r="B169" s="5">
        <v>78432.14</v>
      </c>
      <c r="C169" s="5">
        <v>9440</v>
      </c>
      <c r="D169" s="5">
        <v>89.2</v>
      </c>
      <c r="E169" s="5">
        <v>7.86</v>
      </c>
      <c r="F169" s="12">
        <v>0</v>
      </c>
      <c r="G169" s="12">
        <v>0</v>
      </c>
      <c r="H169" s="5">
        <v>820729.29</v>
      </c>
    </row>
    <row r="170" spans="1:8">
      <c r="A170" s="3" t="s">
        <v>64</v>
      </c>
      <c r="B170" s="5">
        <v>62059.18</v>
      </c>
      <c r="C170" s="5">
        <v>9374</v>
      </c>
      <c r="D170" s="5">
        <v>87.1</v>
      </c>
      <c r="E170" s="5">
        <v>12.55</v>
      </c>
      <c r="F170" s="12">
        <v>0</v>
      </c>
      <c r="G170" s="12">
        <v>0</v>
      </c>
      <c r="H170" s="5">
        <v>739831.73</v>
      </c>
    </row>
    <row r="171" spans="1:8">
      <c r="A171" s="3" t="s">
        <v>64</v>
      </c>
      <c r="B171" s="5">
        <v>32834.480000000003</v>
      </c>
      <c r="C171" s="5">
        <v>7576</v>
      </c>
      <c r="D171" s="5">
        <v>84.1</v>
      </c>
      <c r="E171" s="5">
        <v>3.48</v>
      </c>
      <c r="F171" s="12">
        <v>0</v>
      </c>
      <c r="G171" s="12">
        <v>0</v>
      </c>
      <c r="H171" s="5">
        <v>593637.14</v>
      </c>
    </row>
    <row r="172" spans="1:8">
      <c r="A172" s="3" t="s">
        <v>64</v>
      </c>
      <c r="B172" s="5">
        <v>50825.08</v>
      </c>
      <c r="C172" s="5">
        <v>8949</v>
      </c>
      <c r="D172" s="5">
        <v>84.7</v>
      </c>
      <c r="E172" s="5">
        <v>7.73</v>
      </c>
      <c r="F172" s="12">
        <v>0</v>
      </c>
      <c r="G172" s="12">
        <v>0</v>
      </c>
      <c r="H172" s="5">
        <v>769702.76</v>
      </c>
    </row>
    <row r="173" spans="1:8">
      <c r="A173" s="3" t="s">
        <v>64</v>
      </c>
      <c r="B173" s="5">
        <v>36606.51</v>
      </c>
      <c r="C173" s="5">
        <v>7671</v>
      </c>
      <c r="D173" s="5">
        <v>89.8</v>
      </c>
      <c r="E173" s="5">
        <v>0.25</v>
      </c>
      <c r="F173" s="12">
        <v>0</v>
      </c>
      <c r="G173" s="12">
        <v>0</v>
      </c>
      <c r="H173" s="5">
        <v>679731.57</v>
      </c>
    </row>
    <row r="174" spans="1:8">
      <c r="A174" s="3" t="s">
        <v>65</v>
      </c>
      <c r="B174" s="5">
        <v>65237.79</v>
      </c>
      <c r="C174" s="5">
        <v>8741</v>
      </c>
      <c r="D174" s="5">
        <v>94.4</v>
      </c>
      <c r="E174" s="5">
        <v>6.43</v>
      </c>
      <c r="F174" s="12">
        <v>0</v>
      </c>
      <c r="G174" s="12">
        <v>0</v>
      </c>
      <c r="H174" s="5">
        <v>780344.18</v>
      </c>
    </row>
    <row r="175" spans="1:8">
      <c r="A175" s="3" t="s">
        <v>65</v>
      </c>
      <c r="B175" s="5">
        <v>43645.98</v>
      </c>
      <c r="C175" s="5">
        <v>9480</v>
      </c>
      <c r="D175" s="5">
        <v>89</v>
      </c>
      <c r="E175" s="5">
        <v>2.11</v>
      </c>
      <c r="F175" s="12">
        <v>0</v>
      </c>
      <c r="G175" s="12">
        <v>0</v>
      </c>
      <c r="H175" s="5">
        <v>721364.11</v>
      </c>
    </row>
    <row r="176" spans="1:8">
      <c r="A176" s="3" t="s">
        <v>65</v>
      </c>
      <c r="B176" s="5">
        <v>68040.149999999994</v>
      </c>
      <c r="C176" s="5">
        <v>9826</v>
      </c>
      <c r="D176" s="5">
        <v>83.9</v>
      </c>
      <c r="E176" s="5">
        <v>9.1199999999999992</v>
      </c>
      <c r="F176" s="12">
        <v>0</v>
      </c>
      <c r="G176" s="12">
        <v>0</v>
      </c>
      <c r="H176" s="5">
        <v>758138.29</v>
      </c>
    </row>
    <row r="177" spans="1:8">
      <c r="A177" s="3" t="s">
        <v>65</v>
      </c>
      <c r="B177" s="5">
        <v>63043.94</v>
      </c>
      <c r="C177" s="5">
        <v>10402</v>
      </c>
      <c r="D177" s="5">
        <v>93.9</v>
      </c>
      <c r="E177" s="5">
        <v>2.71</v>
      </c>
      <c r="F177" s="12">
        <v>0</v>
      </c>
      <c r="G177" s="12">
        <v>0</v>
      </c>
      <c r="H177" s="5">
        <v>804264</v>
      </c>
    </row>
    <row r="178" spans="1:8">
      <c r="A178" s="3" t="s">
        <v>66</v>
      </c>
      <c r="B178" s="5">
        <v>67494.09</v>
      </c>
      <c r="C178" s="5">
        <v>12361</v>
      </c>
      <c r="D178" s="5">
        <v>76.599999999999994</v>
      </c>
      <c r="E178" s="5">
        <v>3.65</v>
      </c>
      <c r="F178" s="12">
        <v>0</v>
      </c>
      <c r="G178" s="12">
        <v>0</v>
      </c>
      <c r="H178" s="5">
        <v>887537.75</v>
      </c>
    </row>
    <row r="179" spans="1:8">
      <c r="A179" s="3" t="s">
        <v>66</v>
      </c>
      <c r="B179" s="5">
        <v>29389.32</v>
      </c>
      <c r="C179" s="5">
        <v>7925</v>
      </c>
      <c r="D179" s="5">
        <v>90.9</v>
      </c>
      <c r="E179" s="5">
        <v>7.86</v>
      </c>
      <c r="F179" s="12">
        <v>0</v>
      </c>
      <c r="G179" s="12">
        <v>0</v>
      </c>
      <c r="H179" s="5">
        <v>783582</v>
      </c>
    </row>
    <row r="180" spans="1:8">
      <c r="A180" s="3" t="s">
        <v>66</v>
      </c>
      <c r="B180" s="5">
        <v>40535.089999999997</v>
      </c>
      <c r="C180" s="5">
        <v>8870</v>
      </c>
      <c r="D180" s="5">
        <v>86.6</v>
      </c>
      <c r="E180" s="5">
        <v>0.3</v>
      </c>
      <c r="F180" s="12">
        <v>0</v>
      </c>
      <c r="G180" s="12">
        <v>0</v>
      </c>
      <c r="H180" s="5">
        <v>781955.52</v>
      </c>
    </row>
    <row r="181" spans="1:8">
      <c r="A181" s="3" t="s">
        <v>66</v>
      </c>
      <c r="B181" s="5">
        <v>74881.56</v>
      </c>
      <c r="C181" s="5">
        <v>9999</v>
      </c>
      <c r="D181" s="5">
        <v>89.6</v>
      </c>
      <c r="E181" s="5">
        <v>8.44</v>
      </c>
      <c r="F181" s="12">
        <v>0</v>
      </c>
      <c r="G181" s="12">
        <v>0</v>
      </c>
      <c r="H181" s="5">
        <v>898031.04</v>
      </c>
    </row>
    <row r="182" spans="1:8">
      <c r="A182" s="3" t="s">
        <v>67</v>
      </c>
      <c r="B182" s="5">
        <v>68491.11</v>
      </c>
      <c r="C182" s="5">
        <v>11154</v>
      </c>
      <c r="D182" s="5">
        <v>89.4</v>
      </c>
      <c r="E182" s="5">
        <v>5.27</v>
      </c>
      <c r="F182" s="12">
        <v>0</v>
      </c>
      <c r="G182" s="12">
        <v>0</v>
      </c>
      <c r="H182" s="5">
        <v>855341.28</v>
      </c>
    </row>
    <row r="183" spans="1:8">
      <c r="A183" s="3" t="s">
        <v>67</v>
      </c>
      <c r="B183" s="5">
        <v>45209.25</v>
      </c>
      <c r="C183" s="5">
        <v>9287</v>
      </c>
      <c r="D183" s="5">
        <v>86.4</v>
      </c>
      <c r="E183" s="5">
        <v>13.22</v>
      </c>
      <c r="F183" s="12">
        <v>0</v>
      </c>
      <c r="G183" s="12">
        <v>0</v>
      </c>
      <c r="H183" s="5">
        <v>751393.88</v>
      </c>
    </row>
    <row r="184" spans="1:8">
      <c r="A184" s="3" t="s">
        <v>67</v>
      </c>
      <c r="B184" s="5">
        <v>63010.23</v>
      </c>
      <c r="C184" s="5">
        <v>9812</v>
      </c>
      <c r="D184" s="5">
        <v>76.8</v>
      </c>
      <c r="E184" s="5">
        <v>1.02</v>
      </c>
      <c r="F184" s="12">
        <v>0</v>
      </c>
      <c r="G184" s="12">
        <v>0</v>
      </c>
      <c r="H184" s="5">
        <v>761077.08</v>
      </c>
    </row>
    <row r="185" spans="1:8">
      <c r="A185" s="3" t="s">
        <v>67</v>
      </c>
      <c r="B185" s="5">
        <v>57948.88</v>
      </c>
      <c r="C185" s="5">
        <v>10741</v>
      </c>
      <c r="D185" s="5">
        <v>90.1</v>
      </c>
      <c r="E185" s="5">
        <v>4.03</v>
      </c>
      <c r="F185" s="12">
        <v>0</v>
      </c>
      <c r="G185" s="12">
        <v>0</v>
      </c>
      <c r="H185" s="5">
        <v>819660.59</v>
      </c>
    </row>
    <row r="186" spans="1:8">
      <c r="A186" s="3" t="s">
        <v>68</v>
      </c>
      <c r="B186" s="5">
        <v>71941.62</v>
      </c>
      <c r="C186" s="5">
        <v>6084</v>
      </c>
      <c r="D186" s="5">
        <v>93.7</v>
      </c>
      <c r="E186" s="5">
        <v>2.34</v>
      </c>
      <c r="F186" s="12">
        <v>0</v>
      </c>
      <c r="G186" s="12">
        <v>1</v>
      </c>
      <c r="H186" s="5">
        <v>681855.56</v>
      </c>
    </row>
    <row r="187" spans="1:8">
      <c r="A187" s="3" t="s">
        <v>68</v>
      </c>
      <c r="B187" s="5">
        <v>57147.88</v>
      </c>
      <c r="C187" s="5">
        <v>5252</v>
      </c>
      <c r="D187" s="5">
        <v>95.5</v>
      </c>
      <c r="E187" s="5">
        <v>8.51</v>
      </c>
      <c r="F187" s="12">
        <v>0</v>
      </c>
      <c r="G187" s="12">
        <v>1</v>
      </c>
      <c r="H187" s="5">
        <v>678311.17</v>
      </c>
    </row>
    <row r="188" spans="1:8">
      <c r="A188" s="3" t="s">
        <v>68</v>
      </c>
      <c r="B188" s="5">
        <v>48031.74</v>
      </c>
      <c r="C188" s="5">
        <v>6516</v>
      </c>
      <c r="D188" s="5">
        <v>99</v>
      </c>
      <c r="E188" s="5">
        <v>0.48</v>
      </c>
      <c r="F188" s="12">
        <v>0</v>
      </c>
      <c r="G188" s="12">
        <v>1</v>
      </c>
      <c r="H188" s="5">
        <v>765906.95</v>
      </c>
    </row>
    <row r="189" spans="1:8">
      <c r="A189" s="3" t="s">
        <v>68</v>
      </c>
      <c r="B189" s="5">
        <v>72784.800000000003</v>
      </c>
      <c r="C189" s="5">
        <v>7932</v>
      </c>
      <c r="D189" s="5">
        <v>74.900000000000006</v>
      </c>
      <c r="E189" s="5">
        <v>13.62</v>
      </c>
      <c r="F189" s="12">
        <v>0</v>
      </c>
      <c r="G189" s="12">
        <v>1</v>
      </c>
      <c r="H189" s="5">
        <v>712546.38</v>
      </c>
    </row>
    <row r="190" spans="1:8">
      <c r="A190" s="3" t="s">
        <v>69</v>
      </c>
      <c r="B190" s="5">
        <v>71641.899999999994</v>
      </c>
      <c r="C190" s="5">
        <v>3506</v>
      </c>
      <c r="D190" s="5">
        <v>86.4</v>
      </c>
      <c r="E190" s="5">
        <v>7.77</v>
      </c>
      <c r="F190" s="12">
        <v>0</v>
      </c>
      <c r="G190" s="12">
        <v>1</v>
      </c>
      <c r="H190" s="5">
        <v>625993.82999999996</v>
      </c>
    </row>
    <row r="191" spans="1:8">
      <c r="A191" s="3" t="s">
        <v>69</v>
      </c>
      <c r="B191" s="5">
        <v>55788.61</v>
      </c>
      <c r="C191" s="5">
        <v>2312</v>
      </c>
      <c r="D191" s="5">
        <v>91.3</v>
      </c>
      <c r="E191" s="5">
        <v>1.99</v>
      </c>
      <c r="F191" s="12">
        <v>0</v>
      </c>
      <c r="G191" s="12">
        <v>1</v>
      </c>
      <c r="H191" s="5">
        <v>550962.93000000005</v>
      </c>
    </row>
    <row r="192" spans="1:8">
      <c r="A192" s="3" t="s">
        <v>69</v>
      </c>
      <c r="B192" s="5">
        <v>37705.879999999997</v>
      </c>
      <c r="C192" s="5">
        <v>1268</v>
      </c>
      <c r="D192" s="5">
        <v>84.1</v>
      </c>
      <c r="E192" s="5">
        <v>4.7699999999999996</v>
      </c>
      <c r="F192" s="12">
        <v>0</v>
      </c>
      <c r="G192" s="12">
        <v>1</v>
      </c>
      <c r="H192" s="5">
        <v>443275.59</v>
      </c>
    </row>
    <row r="193" spans="1:8">
      <c r="A193" s="3" t="s">
        <v>69</v>
      </c>
      <c r="B193" s="5">
        <v>54966.18</v>
      </c>
      <c r="C193" s="5">
        <v>4423</v>
      </c>
      <c r="D193" s="5">
        <v>88.7</v>
      </c>
      <c r="E193" s="5">
        <v>0.2</v>
      </c>
      <c r="F193" s="12">
        <v>0</v>
      </c>
      <c r="G193" s="12">
        <v>1</v>
      </c>
      <c r="H193" s="5">
        <v>554012.06999999995</v>
      </c>
    </row>
    <row r="194" spans="1:8">
      <c r="A194" s="3" t="s">
        <v>70</v>
      </c>
      <c r="B194" s="5">
        <v>81796.740000000005</v>
      </c>
      <c r="C194" s="5">
        <v>6177</v>
      </c>
      <c r="D194" s="5">
        <v>87.9</v>
      </c>
      <c r="E194" s="5">
        <v>0.53</v>
      </c>
      <c r="F194" s="12">
        <v>0</v>
      </c>
      <c r="G194" s="12">
        <v>0</v>
      </c>
      <c r="H194" s="5">
        <v>643428.85</v>
      </c>
    </row>
    <row r="195" spans="1:8">
      <c r="A195" s="3" t="s">
        <v>70</v>
      </c>
      <c r="B195" s="5">
        <v>51133.43</v>
      </c>
      <c r="C195" s="5">
        <v>5150</v>
      </c>
      <c r="D195" s="5">
        <v>88.5</v>
      </c>
      <c r="E195" s="5">
        <v>1.54</v>
      </c>
      <c r="F195" s="12">
        <v>0</v>
      </c>
      <c r="G195" s="12">
        <v>0</v>
      </c>
      <c r="H195" s="5">
        <v>611924.27</v>
      </c>
    </row>
    <row r="196" spans="1:8">
      <c r="A196" s="3" t="s">
        <v>70</v>
      </c>
      <c r="B196" s="5">
        <v>40220.18</v>
      </c>
      <c r="C196" s="5">
        <v>3783</v>
      </c>
      <c r="D196" s="5">
        <v>86.6</v>
      </c>
      <c r="E196" s="5">
        <v>3.63</v>
      </c>
      <c r="F196" s="12">
        <v>0</v>
      </c>
      <c r="G196" s="12">
        <v>0</v>
      </c>
      <c r="H196" s="5">
        <v>559422.02</v>
      </c>
    </row>
    <row r="197" spans="1:8">
      <c r="A197" s="3" t="s">
        <v>70</v>
      </c>
      <c r="B197" s="5">
        <v>41657.64</v>
      </c>
      <c r="C197" s="5">
        <v>3135</v>
      </c>
      <c r="D197" s="5">
        <v>85.4</v>
      </c>
      <c r="E197" s="5">
        <v>13.48</v>
      </c>
      <c r="F197" s="12">
        <v>0</v>
      </c>
      <c r="G197" s="12">
        <v>0</v>
      </c>
      <c r="H197" s="5">
        <v>449465.06</v>
      </c>
    </row>
    <row r="198" spans="1:8">
      <c r="A198" s="3" t="s">
        <v>71</v>
      </c>
      <c r="B198" s="5">
        <v>71851.45</v>
      </c>
      <c r="C198" s="5">
        <v>4970</v>
      </c>
      <c r="D198" s="5">
        <v>89.6</v>
      </c>
      <c r="E198" s="5">
        <v>0.2</v>
      </c>
      <c r="F198" s="12">
        <v>0</v>
      </c>
      <c r="G198" s="12">
        <v>0</v>
      </c>
      <c r="H198" s="5">
        <v>691447.43</v>
      </c>
    </row>
    <row r="199" spans="1:8">
      <c r="A199" s="3" t="s">
        <v>71</v>
      </c>
      <c r="B199" s="5">
        <v>54002.83</v>
      </c>
      <c r="C199" s="5">
        <v>4366</v>
      </c>
      <c r="D199" s="5">
        <v>90.6</v>
      </c>
      <c r="E199" s="5">
        <v>12.82</v>
      </c>
      <c r="F199" s="12">
        <v>0</v>
      </c>
      <c r="G199" s="12">
        <v>0</v>
      </c>
      <c r="H199" s="5">
        <v>574066.61</v>
      </c>
    </row>
    <row r="200" spans="1:8">
      <c r="A200" s="3" t="s">
        <v>71</v>
      </c>
      <c r="B200" s="5">
        <v>54479.33</v>
      </c>
      <c r="C200" s="5">
        <v>5012</v>
      </c>
      <c r="D200" s="5">
        <v>86</v>
      </c>
      <c r="E200" s="5">
        <v>2.2400000000000002</v>
      </c>
      <c r="F200" s="12">
        <v>0</v>
      </c>
      <c r="G200" s="12">
        <v>0</v>
      </c>
      <c r="H200" s="5">
        <v>578949.84</v>
      </c>
    </row>
    <row r="201" spans="1:8">
      <c r="A201" s="3" t="s">
        <v>71</v>
      </c>
      <c r="B201" s="5">
        <v>61391.8</v>
      </c>
      <c r="C201" s="5">
        <v>5575</v>
      </c>
      <c r="D201" s="5">
        <v>90</v>
      </c>
      <c r="E201" s="5">
        <v>1.8</v>
      </c>
      <c r="F201" s="12">
        <v>0</v>
      </c>
      <c r="G201" s="12">
        <v>0</v>
      </c>
      <c r="H201" s="5">
        <v>735786.64</v>
      </c>
    </row>
    <row r="202" spans="1:8">
      <c r="A202" s="3" t="s">
        <v>72</v>
      </c>
      <c r="B202" s="5">
        <v>22312.93</v>
      </c>
      <c r="C202" s="5">
        <v>5955</v>
      </c>
      <c r="D202" s="5">
        <v>84.2</v>
      </c>
      <c r="E202" s="5">
        <v>0.41</v>
      </c>
      <c r="F202" s="12">
        <v>0</v>
      </c>
      <c r="G202" s="12">
        <v>0</v>
      </c>
      <c r="H202" s="5">
        <v>598904.9</v>
      </c>
    </row>
    <row r="203" spans="1:8">
      <c r="A203" s="3" t="s">
        <v>72</v>
      </c>
      <c r="B203" s="5">
        <v>78111.97</v>
      </c>
      <c r="C203" s="5">
        <v>6389</v>
      </c>
      <c r="D203" s="5">
        <v>83.9</v>
      </c>
      <c r="E203" s="5">
        <v>3.05</v>
      </c>
      <c r="F203" s="12">
        <v>0</v>
      </c>
      <c r="G203" s="12">
        <v>0</v>
      </c>
      <c r="H203" s="5">
        <v>787715.51</v>
      </c>
    </row>
    <row r="204" spans="1:8">
      <c r="A204" s="3" t="s">
        <v>72</v>
      </c>
      <c r="B204" s="5">
        <v>35203.230000000003</v>
      </c>
      <c r="C204" s="5">
        <v>6896</v>
      </c>
      <c r="D204" s="5">
        <v>80.8</v>
      </c>
      <c r="E204" s="5">
        <v>8.44</v>
      </c>
      <c r="F204" s="12">
        <v>0</v>
      </c>
      <c r="G204" s="12">
        <v>0</v>
      </c>
      <c r="H204" s="5">
        <v>607084.92000000004</v>
      </c>
    </row>
    <row r="205" spans="1:8">
      <c r="A205" s="3" t="s">
        <v>72</v>
      </c>
      <c r="B205" s="5">
        <v>64104.28</v>
      </c>
      <c r="C205" s="5">
        <v>6015</v>
      </c>
      <c r="D205" s="5">
        <v>88.7</v>
      </c>
      <c r="E205" s="5">
        <v>0.78</v>
      </c>
      <c r="F205" s="12">
        <v>0</v>
      </c>
      <c r="G205" s="12">
        <v>0</v>
      </c>
      <c r="H205" s="5">
        <v>650795.49</v>
      </c>
    </row>
    <row r="206" spans="1:8">
      <c r="A206" s="3" t="s">
        <v>73</v>
      </c>
      <c r="B206" s="5">
        <v>92090.14</v>
      </c>
      <c r="C206" s="5">
        <v>9476</v>
      </c>
      <c r="D206" s="5">
        <v>94.3</v>
      </c>
      <c r="E206" s="5">
        <v>0.87</v>
      </c>
      <c r="F206" s="12">
        <v>0</v>
      </c>
      <c r="G206" s="12">
        <v>0</v>
      </c>
      <c r="H206" s="5">
        <v>825060.52</v>
      </c>
    </row>
    <row r="207" spans="1:8">
      <c r="A207" s="3" t="s">
        <v>73</v>
      </c>
      <c r="B207" s="5">
        <v>54300.87</v>
      </c>
      <c r="C207" s="5">
        <v>7875</v>
      </c>
      <c r="D207" s="5">
        <v>94.1</v>
      </c>
      <c r="E207" s="5">
        <v>0.95</v>
      </c>
      <c r="F207" s="12">
        <v>0</v>
      </c>
      <c r="G207" s="12">
        <v>0</v>
      </c>
      <c r="H207" s="5">
        <v>795464.47</v>
      </c>
    </row>
    <row r="208" spans="1:8">
      <c r="A208" s="3" t="s">
        <v>73</v>
      </c>
      <c r="B208" s="5">
        <v>37983.35</v>
      </c>
      <c r="C208" s="5">
        <v>9283</v>
      </c>
      <c r="D208" s="5">
        <v>83.2</v>
      </c>
      <c r="E208" s="5">
        <v>3.82</v>
      </c>
      <c r="F208" s="12">
        <v>0</v>
      </c>
      <c r="G208" s="12">
        <v>0</v>
      </c>
      <c r="H208" s="5">
        <v>671868.59</v>
      </c>
    </row>
    <row r="209" spans="1:8">
      <c r="A209" s="3" t="s">
        <v>73</v>
      </c>
      <c r="B209" s="5">
        <v>56413.83</v>
      </c>
      <c r="C209" s="5">
        <v>8303</v>
      </c>
      <c r="D209" s="5">
        <v>93.6</v>
      </c>
      <c r="E209" s="5">
        <v>2.7</v>
      </c>
      <c r="F209" s="12">
        <v>0</v>
      </c>
      <c r="G209" s="12">
        <v>0</v>
      </c>
      <c r="H209" s="5">
        <v>675917.63</v>
      </c>
    </row>
    <row r="210" spans="1:8">
      <c r="A210" s="3" t="s">
        <v>74</v>
      </c>
      <c r="B210" s="5">
        <v>63457.19</v>
      </c>
      <c r="C210" s="5">
        <v>10125</v>
      </c>
      <c r="D210" s="5">
        <v>87</v>
      </c>
      <c r="E210" s="5">
        <v>3.84</v>
      </c>
      <c r="F210" s="12">
        <v>0</v>
      </c>
      <c r="G210" s="12">
        <v>1</v>
      </c>
      <c r="H210" s="5">
        <v>810446.53</v>
      </c>
    </row>
    <row r="211" spans="1:8">
      <c r="A211" s="3" t="s">
        <v>74</v>
      </c>
      <c r="B211" s="5">
        <v>62949.7</v>
      </c>
      <c r="C211" s="5">
        <v>9458</v>
      </c>
      <c r="D211" s="5">
        <v>84.9</v>
      </c>
      <c r="E211" s="5">
        <v>5.09</v>
      </c>
      <c r="F211" s="12">
        <v>0</v>
      </c>
      <c r="G211" s="12">
        <v>1</v>
      </c>
      <c r="H211" s="5">
        <v>691288.19</v>
      </c>
    </row>
    <row r="212" spans="1:8">
      <c r="A212" s="3" t="s">
        <v>74</v>
      </c>
      <c r="B212" s="5">
        <v>107970.19</v>
      </c>
      <c r="C212" s="5">
        <v>12870</v>
      </c>
      <c r="D212" s="5">
        <v>91.7</v>
      </c>
      <c r="E212" s="5">
        <v>3.82</v>
      </c>
      <c r="F212" s="12">
        <v>0</v>
      </c>
      <c r="G212" s="12">
        <v>1</v>
      </c>
      <c r="H212" s="5">
        <v>946833.54</v>
      </c>
    </row>
    <row r="213" spans="1:8">
      <c r="A213" s="3" t="s">
        <v>74</v>
      </c>
      <c r="B213" s="5">
        <v>49405.75</v>
      </c>
      <c r="C213" s="5">
        <v>9752</v>
      </c>
      <c r="D213" s="5">
        <v>87</v>
      </c>
      <c r="E213" s="5">
        <v>12.28</v>
      </c>
      <c r="F213" s="12">
        <v>0</v>
      </c>
      <c r="G213" s="12">
        <v>1</v>
      </c>
      <c r="H213" s="5">
        <v>761963.23</v>
      </c>
    </row>
    <row r="214" spans="1:8">
      <c r="A214" s="3" t="s">
        <v>75</v>
      </c>
      <c r="B214" s="5">
        <v>50887.46</v>
      </c>
      <c r="C214" s="5">
        <v>9505</v>
      </c>
      <c r="D214" s="5">
        <v>89.7</v>
      </c>
      <c r="E214" s="5">
        <v>2.8</v>
      </c>
      <c r="F214" s="12">
        <v>0</v>
      </c>
      <c r="G214" s="12">
        <v>0</v>
      </c>
      <c r="H214" s="5">
        <v>812152.6</v>
      </c>
    </row>
    <row r="215" spans="1:8">
      <c r="A215" s="3" t="s">
        <v>75</v>
      </c>
      <c r="B215" s="5">
        <v>41819.449999999997</v>
      </c>
      <c r="C215" s="5">
        <v>9412</v>
      </c>
      <c r="D215" s="5">
        <v>91</v>
      </c>
      <c r="E215" s="5">
        <v>3.67</v>
      </c>
      <c r="F215" s="12">
        <v>0</v>
      </c>
      <c r="G215" s="12">
        <v>0</v>
      </c>
      <c r="H215" s="5">
        <v>804975.5</v>
      </c>
    </row>
    <row r="216" spans="1:8">
      <c r="A216" s="3" t="s">
        <v>75</v>
      </c>
      <c r="B216" s="5">
        <v>35296.54</v>
      </c>
      <c r="C216" s="5">
        <v>9644</v>
      </c>
      <c r="D216" s="5">
        <v>88</v>
      </c>
      <c r="E216" s="5">
        <v>2.81</v>
      </c>
      <c r="F216" s="12">
        <v>0</v>
      </c>
      <c r="G216" s="12">
        <v>0</v>
      </c>
      <c r="H216" s="5">
        <v>752321.72</v>
      </c>
    </row>
    <row r="217" spans="1:8">
      <c r="A217" s="3" t="s">
        <v>75</v>
      </c>
      <c r="B217" s="5">
        <v>47391.09</v>
      </c>
      <c r="C217" s="5">
        <v>11224</v>
      </c>
      <c r="D217" s="5">
        <v>88.4</v>
      </c>
      <c r="E217" s="5">
        <v>2.44</v>
      </c>
      <c r="F217" s="12">
        <v>0</v>
      </c>
      <c r="G217" s="12">
        <v>0</v>
      </c>
      <c r="H217" s="5">
        <v>836908.24</v>
      </c>
    </row>
    <row r="218" spans="1:8">
      <c r="A218" s="3" t="s">
        <v>76</v>
      </c>
      <c r="B218" s="5">
        <v>69180.539999999994</v>
      </c>
      <c r="C218" s="5">
        <v>5394</v>
      </c>
      <c r="D218" s="5">
        <v>82.9</v>
      </c>
      <c r="E218" s="5">
        <v>3.27</v>
      </c>
      <c r="F218" s="12">
        <v>0</v>
      </c>
      <c r="G218" s="12">
        <v>0</v>
      </c>
      <c r="H218" s="5">
        <v>674289.1</v>
      </c>
    </row>
    <row r="219" spans="1:8">
      <c r="A219" s="3" t="s">
        <v>76</v>
      </c>
      <c r="B219" s="5">
        <v>33987.33</v>
      </c>
      <c r="C219" s="5">
        <v>5014</v>
      </c>
      <c r="D219" s="5">
        <v>94.3</v>
      </c>
      <c r="E219" s="5">
        <v>10.34</v>
      </c>
      <c r="F219" s="12">
        <v>0</v>
      </c>
      <c r="G219" s="12">
        <v>0</v>
      </c>
      <c r="H219" s="5">
        <v>622892.42000000004</v>
      </c>
    </row>
    <row r="220" spans="1:8">
      <c r="A220" s="3" t="s">
        <v>76</v>
      </c>
      <c r="B220" s="5">
        <v>58785.33</v>
      </c>
      <c r="C220" s="5">
        <v>4467</v>
      </c>
      <c r="D220" s="5">
        <v>90.7</v>
      </c>
      <c r="E220" s="5">
        <v>1.92</v>
      </c>
      <c r="F220" s="12">
        <v>0</v>
      </c>
      <c r="G220" s="12">
        <v>0</v>
      </c>
      <c r="H220" s="5">
        <v>673348.56</v>
      </c>
    </row>
    <row r="221" spans="1:8">
      <c r="A221" s="3" t="s">
        <v>76</v>
      </c>
      <c r="B221" s="5">
        <v>16451.849999999999</v>
      </c>
      <c r="C221" s="5">
        <v>4678</v>
      </c>
      <c r="D221" s="5">
        <v>95.9</v>
      </c>
      <c r="E221" s="5">
        <v>3.1</v>
      </c>
      <c r="F221" s="12">
        <v>0</v>
      </c>
      <c r="G221" s="12">
        <v>0</v>
      </c>
      <c r="H221" s="5">
        <v>606278.30000000005</v>
      </c>
    </row>
    <row r="222" spans="1:8">
      <c r="A222" s="3" t="s">
        <v>77</v>
      </c>
      <c r="B222" s="5">
        <v>53367.73</v>
      </c>
      <c r="C222" s="5">
        <v>7291</v>
      </c>
      <c r="D222" s="5">
        <v>90.6</v>
      </c>
      <c r="E222" s="5">
        <v>6.34</v>
      </c>
      <c r="F222" s="12">
        <v>0</v>
      </c>
      <c r="G222" s="12">
        <v>1</v>
      </c>
      <c r="H222" s="5">
        <v>712219.81</v>
      </c>
    </row>
    <row r="223" spans="1:8">
      <c r="A223" s="3" t="s">
        <v>77</v>
      </c>
      <c r="B223" s="5">
        <v>27194.639999999999</v>
      </c>
      <c r="C223" s="5">
        <v>7404</v>
      </c>
      <c r="D223" s="5">
        <v>90.2</v>
      </c>
      <c r="E223" s="5">
        <v>1.2</v>
      </c>
      <c r="F223" s="12">
        <v>0</v>
      </c>
      <c r="G223" s="12">
        <v>1</v>
      </c>
      <c r="H223" s="5">
        <v>672670.54</v>
      </c>
    </row>
    <row r="224" spans="1:8">
      <c r="A224" s="3" t="s">
        <v>77</v>
      </c>
      <c r="B224" s="5">
        <v>66962.740000000005</v>
      </c>
      <c r="C224" s="5">
        <v>7880</v>
      </c>
      <c r="D224" s="5">
        <v>90.4</v>
      </c>
      <c r="E224" s="5">
        <v>4.5</v>
      </c>
      <c r="F224" s="12">
        <v>0</v>
      </c>
      <c r="G224" s="12">
        <v>1</v>
      </c>
      <c r="H224" s="5">
        <v>732667.92</v>
      </c>
    </row>
    <row r="225" spans="1:8">
      <c r="A225" s="3" t="s">
        <v>77</v>
      </c>
      <c r="B225" s="5">
        <v>73540.990000000005</v>
      </c>
      <c r="C225" s="5">
        <v>8773</v>
      </c>
      <c r="D225" s="5">
        <v>84.4</v>
      </c>
      <c r="E225" s="5">
        <v>6.68</v>
      </c>
      <c r="F225" s="12">
        <v>0</v>
      </c>
      <c r="G225" s="12">
        <v>1</v>
      </c>
      <c r="H225" s="5">
        <v>723531.4</v>
      </c>
    </row>
    <row r="226" spans="1:8">
      <c r="A226" s="3" t="s">
        <v>78</v>
      </c>
      <c r="B226" s="5">
        <v>68212.289999999994</v>
      </c>
      <c r="C226" s="5">
        <v>4713</v>
      </c>
      <c r="D226" s="5">
        <v>82.6</v>
      </c>
      <c r="E226" s="5">
        <v>4.07</v>
      </c>
      <c r="F226" s="12">
        <v>0</v>
      </c>
      <c r="G226" s="12">
        <v>0</v>
      </c>
      <c r="H226" s="5">
        <v>641564.6</v>
      </c>
    </row>
    <row r="227" spans="1:8">
      <c r="A227" s="3" t="s">
        <v>78</v>
      </c>
      <c r="B227" s="5">
        <v>57225.98</v>
      </c>
      <c r="C227" s="5">
        <v>2842</v>
      </c>
      <c r="D227" s="5">
        <v>79.5</v>
      </c>
      <c r="E227" s="5">
        <v>5.45</v>
      </c>
      <c r="F227" s="12">
        <v>0</v>
      </c>
      <c r="G227" s="12">
        <v>0</v>
      </c>
      <c r="H227" s="5">
        <v>536545.49</v>
      </c>
    </row>
    <row r="228" spans="1:8">
      <c r="A228" s="3" t="s">
        <v>78</v>
      </c>
      <c r="B228" s="5">
        <v>42932.02</v>
      </c>
      <c r="C228" s="5">
        <v>3872</v>
      </c>
      <c r="D228" s="5">
        <v>83.2</v>
      </c>
      <c r="E228" s="5">
        <v>15.58</v>
      </c>
      <c r="F228" s="12">
        <v>0</v>
      </c>
      <c r="G228" s="12">
        <v>0</v>
      </c>
      <c r="H228" s="5">
        <v>527681.56000000006</v>
      </c>
    </row>
    <row r="229" spans="1:8">
      <c r="A229" s="3" t="s">
        <v>78</v>
      </c>
      <c r="B229" s="5">
        <v>39341.449999999997</v>
      </c>
      <c r="C229" s="5">
        <v>1375</v>
      </c>
      <c r="D229" s="5">
        <v>95</v>
      </c>
      <c r="E229" s="5">
        <v>5.32</v>
      </c>
      <c r="F229" s="12">
        <v>0</v>
      </c>
      <c r="G229" s="12">
        <v>0</v>
      </c>
      <c r="H229" s="5">
        <v>529598.93999999994</v>
      </c>
    </row>
    <row r="230" spans="1:8">
      <c r="A230" s="3" t="s">
        <v>79</v>
      </c>
      <c r="B230" s="5">
        <v>37324.230000000003</v>
      </c>
      <c r="C230" s="5">
        <v>5957</v>
      </c>
      <c r="D230" s="5">
        <v>85.9</v>
      </c>
      <c r="E230" s="5">
        <v>0.37</v>
      </c>
      <c r="F230" s="12">
        <v>0</v>
      </c>
      <c r="G230" s="12">
        <v>1</v>
      </c>
      <c r="H230" s="5">
        <v>570963.31000000006</v>
      </c>
    </row>
    <row r="231" spans="1:8">
      <c r="A231" s="3" t="s">
        <v>79</v>
      </c>
      <c r="B231" s="5">
        <v>113736</v>
      </c>
      <c r="C231" s="5">
        <v>8961</v>
      </c>
      <c r="D231" s="5">
        <v>86.2</v>
      </c>
      <c r="E231" s="5">
        <v>21.63</v>
      </c>
      <c r="F231" s="12">
        <v>0</v>
      </c>
      <c r="G231" s="12">
        <v>1</v>
      </c>
      <c r="H231" s="5">
        <v>870937.4</v>
      </c>
    </row>
    <row r="232" spans="1:8">
      <c r="A232" s="3" t="s">
        <v>79</v>
      </c>
      <c r="B232" s="5">
        <v>33173.949999999997</v>
      </c>
      <c r="C232" s="5">
        <v>6545</v>
      </c>
      <c r="D232" s="5">
        <v>84.4</v>
      </c>
      <c r="E232" s="5">
        <v>2.48</v>
      </c>
      <c r="F232" s="12">
        <v>0</v>
      </c>
      <c r="G232" s="12">
        <v>1</v>
      </c>
      <c r="H232" s="5">
        <v>596969.27</v>
      </c>
    </row>
    <row r="233" spans="1:8">
      <c r="A233" s="3" t="s">
        <v>79</v>
      </c>
      <c r="B233" s="5">
        <v>25818.080000000002</v>
      </c>
      <c r="C233" s="5">
        <v>5457</v>
      </c>
      <c r="D233" s="5">
        <v>95.4</v>
      </c>
      <c r="E233" s="5">
        <v>3.37</v>
      </c>
      <c r="F233" s="12">
        <v>0</v>
      </c>
      <c r="G233" s="12">
        <v>1</v>
      </c>
      <c r="H233" s="5">
        <v>647512.85</v>
      </c>
    </row>
    <row r="234" spans="1:8">
      <c r="A234" s="3" t="s">
        <v>80</v>
      </c>
      <c r="B234" s="5">
        <v>47241.919999999998</v>
      </c>
      <c r="C234" s="5">
        <v>4264</v>
      </c>
      <c r="D234" s="5">
        <v>95.3</v>
      </c>
      <c r="E234" s="5">
        <v>0.85</v>
      </c>
      <c r="F234" s="12">
        <v>0</v>
      </c>
      <c r="G234" s="12">
        <v>0</v>
      </c>
      <c r="H234" s="5">
        <v>658072.14</v>
      </c>
    </row>
    <row r="235" spans="1:8">
      <c r="A235" s="3" t="s">
        <v>80</v>
      </c>
      <c r="B235" s="5">
        <v>61650.79</v>
      </c>
      <c r="C235" s="5">
        <v>5321</v>
      </c>
      <c r="D235" s="5">
        <v>89.2</v>
      </c>
      <c r="E235" s="5">
        <v>2.13</v>
      </c>
      <c r="F235" s="12">
        <v>0</v>
      </c>
      <c r="G235" s="12">
        <v>0</v>
      </c>
      <c r="H235" s="5">
        <v>723305.11</v>
      </c>
    </row>
    <row r="236" spans="1:8">
      <c r="A236" s="3" t="s">
        <v>80</v>
      </c>
      <c r="B236" s="5">
        <v>62582.71</v>
      </c>
      <c r="C236" s="5">
        <v>5479</v>
      </c>
      <c r="D236" s="5">
        <v>81.2</v>
      </c>
      <c r="E236" s="5">
        <v>1.46</v>
      </c>
      <c r="F236" s="12">
        <v>0</v>
      </c>
      <c r="G236" s="12">
        <v>0</v>
      </c>
      <c r="H236" s="5">
        <v>640666.53</v>
      </c>
    </row>
    <row r="237" spans="1:8">
      <c r="A237" s="3" t="s">
        <v>80</v>
      </c>
      <c r="B237" s="5">
        <v>47944.14</v>
      </c>
      <c r="C237" s="5">
        <v>6169</v>
      </c>
      <c r="D237" s="5">
        <v>92.2</v>
      </c>
      <c r="E237" s="5">
        <v>3.02</v>
      </c>
      <c r="F237" s="12">
        <v>0</v>
      </c>
      <c r="G237" s="12">
        <v>0</v>
      </c>
      <c r="H237" s="5">
        <v>670629.48</v>
      </c>
    </row>
    <row r="238" spans="1:8">
      <c r="A238" s="3" t="s">
        <v>81</v>
      </c>
      <c r="B238" s="5">
        <v>46495.4</v>
      </c>
      <c r="C238" s="5">
        <v>9908</v>
      </c>
      <c r="D238" s="5">
        <v>89.4</v>
      </c>
      <c r="E238" s="5">
        <v>3.22</v>
      </c>
      <c r="F238" s="12">
        <v>0</v>
      </c>
      <c r="G238" s="12">
        <v>0</v>
      </c>
      <c r="H238" s="5">
        <v>721079.35</v>
      </c>
    </row>
    <row r="239" spans="1:8">
      <c r="A239" s="3" t="s">
        <v>81</v>
      </c>
      <c r="B239" s="5">
        <v>72961.95</v>
      </c>
      <c r="C239" s="5">
        <v>9996</v>
      </c>
      <c r="D239" s="5">
        <v>89.1</v>
      </c>
      <c r="E239" s="5">
        <v>15.66</v>
      </c>
      <c r="F239" s="12">
        <v>0</v>
      </c>
      <c r="G239" s="12">
        <v>0</v>
      </c>
      <c r="H239" s="5">
        <v>810355.02</v>
      </c>
    </row>
    <row r="240" spans="1:8">
      <c r="A240" s="3" t="s">
        <v>81</v>
      </c>
      <c r="B240" s="5">
        <v>59060.05</v>
      </c>
      <c r="C240" s="5">
        <v>9702</v>
      </c>
      <c r="D240" s="5">
        <v>80.900000000000006</v>
      </c>
      <c r="E240" s="5">
        <v>6.96</v>
      </c>
      <c r="F240" s="12">
        <v>0</v>
      </c>
      <c r="G240" s="12">
        <v>0</v>
      </c>
      <c r="H240" s="5">
        <v>761919.25</v>
      </c>
    </row>
    <row r="241" spans="1:8">
      <c r="A241" s="3" t="s">
        <v>81</v>
      </c>
      <c r="B241" s="5">
        <v>26248.1</v>
      </c>
      <c r="C241" s="5">
        <v>9314</v>
      </c>
      <c r="D241" s="5">
        <v>83.7</v>
      </c>
      <c r="E241" s="5">
        <v>4.62</v>
      </c>
      <c r="F241" s="12">
        <v>0</v>
      </c>
      <c r="G241" s="12">
        <v>0</v>
      </c>
      <c r="H241" s="5">
        <v>737070.18</v>
      </c>
    </row>
    <row r="242" spans="1:8">
      <c r="A242" s="3" t="s">
        <v>82</v>
      </c>
      <c r="B242" s="5">
        <v>69900.12</v>
      </c>
      <c r="C242" s="5">
        <v>8055</v>
      </c>
      <c r="D242" s="5">
        <v>85.6</v>
      </c>
      <c r="E242" s="5">
        <v>10.68</v>
      </c>
      <c r="F242" s="12">
        <v>1</v>
      </c>
      <c r="G242" s="12">
        <v>0</v>
      </c>
      <c r="H242" s="5">
        <v>776992.93</v>
      </c>
    </row>
    <row r="243" spans="1:8">
      <c r="A243" s="3" t="s">
        <v>82</v>
      </c>
      <c r="B243" s="5">
        <v>51781.599999999999</v>
      </c>
      <c r="C243" s="5">
        <v>5648</v>
      </c>
      <c r="D243" s="5">
        <v>85.5</v>
      </c>
      <c r="E243" s="5">
        <v>4.04</v>
      </c>
      <c r="F243" s="12">
        <v>1</v>
      </c>
      <c r="G243" s="12">
        <v>0</v>
      </c>
      <c r="H243" s="5">
        <v>676337.41</v>
      </c>
    </row>
    <row r="244" spans="1:8">
      <c r="A244" s="3" t="s">
        <v>82</v>
      </c>
      <c r="B244" s="5">
        <v>70799.64</v>
      </c>
      <c r="C244" s="5">
        <v>10076</v>
      </c>
      <c r="D244" s="5">
        <v>84.8</v>
      </c>
      <c r="E244" s="5">
        <v>1.87</v>
      </c>
      <c r="F244" s="12">
        <v>1</v>
      </c>
      <c r="G244" s="12">
        <v>0</v>
      </c>
      <c r="H244" s="5">
        <v>828219.67</v>
      </c>
    </row>
    <row r="245" spans="1:8">
      <c r="A245" s="3" t="s">
        <v>82</v>
      </c>
      <c r="B245" s="5">
        <v>53546.34</v>
      </c>
      <c r="C245" s="5">
        <v>8004</v>
      </c>
      <c r="D245" s="5">
        <v>95.2</v>
      </c>
      <c r="E245" s="5">
        <v>2.83</v>
      </c>
      <c r="F245" s="12">
        <v>1</v>
      </c>
      <c r="G245" s="12">
        <v>0</v>
      </c>
      <c r="H245" s="5">
        <v>763159.92</v>
      </c>
    </row>
    <row r="246" spans="1:8">
      <c r="A246" s="3" t="s">
        <v>83</v>
      </c>
      <c r="B246" s="5">
        <v>76942.2</v>
      </c>
      <c r="C246" s="5">
        <v>8934</v>
      </c>
      <c r="D246" s="5">
        <v>91</v>
      </c>
      <c r="E246" s="5">
        <v>0.95</v>
      </c>
      <c r="F246" s="12">
        <v>0</v>
      </c>
      <c r="G246" s="12">
        <v>1</v>
      </c>
      <c r="H246" s="5">
        <v>802001.68</v>
      </c>
    </row>
    <row r="247" spans="1:8">
      <c r="A247" s="3" t="s">
        <v>83</v>
      </c>
      <c r="B247" s="5">
        <v>48060.78</v>
      </c>
      <c r="C247" s="5">
        <v>8733</v>
      </c>
      <c r="D247" s="5">
        <v>89.9</v>
      </c>
      <c r="E247" s="5">
        <v>0.8</v>
      </c>
      <c r="F247" s="12">
        <v>0</v>
      </c>
      <c r="G247" s="12">
        <v>1</v>
      </c>
      <c r="H247" s="5">
        <v>750471.34</v>
      </c>
    </row>
    <row r="248" spans="1:8">
      <c r="A248" s="3" t="s">
        <v>83</v>
      </c>
      <c r="B248" s="5">
        <v>57390.04</v>
      </c>
      <c r="C248" s="5">
        <v>7374</v>
      </c>
      <c r="D248" s="5">
        <v>91.8</v>
      </c>
      <c r="E248" s="5">
        <v>0.2</v>
      </c>
      <c r="F248" s="12">
        <v>0</v>
      </c>
      <c r="G248" s="12">
        <v>1</v>
      </c>
      <c r="H248" s="5">
        <v>679230.86</v>
      </c>
    </row>
    <row r="249" spans="1:8">
      <c r="A249" s="3" t="s">
        <v>83</v>
      </c>
      <c r="B249" s="5">
        <v>21536.18</v>
      </c>
      <c r="C249" s="5">
        <v>8119</v>
      </c>
      <c r="D249" s="5">
        <v>90.4</v>
      </c>
      <c r="E249" s="5">
        <v>1.7</v>
      </c>
      <c r="F249" s="12">
        <v>0</v>
      </c>
      <c r="G249" s="12">
        <v>1</v>
      </c>
      <c r="H249" s="5">
        <v>679888.74</v>
      </c>
    </row>
    <row r="250" spans="1:8">
      <c r="A250" s="3" t="s">
        <v>84</v>
      </c>
      <c r="B250" s="5">
        <v>40923.67</v>
      </c>
      <c r="C250" s="5">
        <v>3875</v>
      </c>
      <c r="D250" s="5">
        <v>96.1</v>
      </c>
      <c r="E250" s="5">
        <v>3.37</v>
      </c>
      <c r="F250" s="12">
        <v>0</v>
      </c>
      <c r="G250" s="12">
        <v>1</v>
      </c>
      <c r="H250" s="5">
        <v>606783.67000000004</v>
      </c>
    </row>
    <row r="251" spans="1:8">
      <c r="A251" s="3" t="s">
        <v>84</v>
      </c>
      <c r="B251" s="5">
        <v>72932.55</v>
      </c>
      <c r="C251" s="5">
        <v>5765</v>
      </c>
      <c r="D251" s="5">
        <v>81.8</v>
      </c>
      <c r="E251" s="5">
        <v>5.0999999999999996</v>
      </c>
      <c r="F251" s="12">
        <v>0</v>
      </c>
      <c r="G251" s="12">
        <v>1</v>
      </c>
      <c r="H251" s="5">
        <v>642751.42000000004</v>
      </c>
    </row>
    <row r="252" spans="1:8">
      <c r="A252" s="3" t="s">
        <v>84</v>
      </c>
      <c r="B252" s="5">
        <v>38361.93</v>
      </c>
      <c r="C252" s="5">
        <v>6322</v>
      </c>
      <c r="D252" s="5">
        <v>88.4</v>
      </c>
      <c r="E252" s="5">
        <v>0.83</v>
      </c>
      <c r="F252" s="12">
        <v>0</v>
      </c>
      <c r="G252" s="12">
        <v>1</v>
      </c>
      <c r="H252" s="5">
        <v>647953.78</v>
      </c>
    </row>
    <row r="253" spans="1:8">
      <c r="A253" s="3" t="s">
        <v>84</v>
      </c>
      <c r="B253" s="5">
        <v>97480.94</v>
      </c>
      <c r="C253" s="5">
        <v>6840</v>
      </c>
      <c r="D253" s="5">
        <v>79.2</v>
      </c>
      <c r="E253" s="5">
        <v>1.1399999999999999</v>
      </c>
      <c r="F253" s="12">
        <v>0</v>
      </c>
      <c r="G253" s="12">
        <v>1</v>
      </c>
      <c r="H253" s="5">
        <v>729440.45</v>
      </c>
    </row>
    <row r="254" spans="1:8">
      <c r="A254" s="3" t="s">
        <v>85</v>
      </c>
      <c r="B254" s="5">
        <v>81801.8</v>
      </c>
      <c r="C254" s="5">
        <v>6782</v>
      </c>
      <c r="D254" s="5">
        <v>99</v>
      </c>
      <c r="E254" s="5">
        <v>9.5399999999999991</v>
      </c>
      <c r="F254" s="12">
        <v>1</v>
      </c>
      <c r="G254" s="12">
        <v>0</v>
      </c>
      <c r="H254" s="5">
        <v>764949</v>
      </c>
    </row>
    <row r="255" spans="1:8">
      <c r="A255" s="3" t="s">
        <v>85</v>
      </c>
      <c r="B255" s="5">
        <v>63582.11</v>
      </c>
      <c r="C255" s="5">
        <v>6856</v>
      </c>
      <c r="D255" s="5">
        <v>89.5</v>
      </c>
      <c r="E255" s="5">
        <v>5.48</v>
      </c>
      <c r="F255" s="12">
        <v>1</v>
      </c>
      <c r="G255" s="12">
        <v>0</v>
      </c>
      <c r="H255" s="5">
        <v>799046.94</v>
      </c>
    </row>
    <row r="256" spans="1:8">
      <c r="A256" s="3" t="s">
        <v>85</v>
      </c>
      <c r="B256" s="5">
        <v>75412.740000000005</v>
      </c>
      <c r="C256" s="5">
        <v>5641</v>
      </c>
      <c r="D256" s="5">
        <v>87.9</v>
      </c>
      <c r="E256" s="5">
        <v>0.84</v>
      </c>
      <c r="F256" s="12">
        <v>1</v>
      </c>
      <c r="G256" s="12">
        <v>0</v>
      </c>
      <c r="H256" s="5">
        <v>720079.54</v>
      </c>
    </row>
    <row r="257" spans="1:8">
      <c r="A257" s="3" t="s">
        <v>85</v>
      </c>
      <c r="B257" s="5">
        <v>36290.080000000002</v>
      </c>
      <c r="C257" s="5">
        <v>5787</v>
      </c>
      <c r="D257" s="5">
        <v>88.3</v>
      </c>
      <c r="E257" s="5">
        <v>4.1900000000000004</v>
      </c>
      <c r="F257" s="12">
        <v>1</v>
      </c>
      <c r="G257" s="12">
        <v>0</v>
      </c>
      <c r="H257" s="5">
        <v>612390.14</v>
      </c>
    </row>
    <row r="258" spans="1:8">
      <c r="A258" s="3" t="s">
        <v>86</v>
      </c>
      <c r="B258" s="5">
        <v>65272.58</v>
      </c>
      <c r="C258" s="5">
        <v>8165</v>
      </c>
      <c r="D258" s="5">
        <v>87.8</v>
      </c>
      <c r="E258" s="5">
        <v>1.26</v>
      </c>
      <c r="F258" s="12">
        <v>1</v>
      </c>
      <c r="G258" s="12">
        <v>0</v>
      </c>
      <c r="H258" s="5">
        <v>840108.12</v>
      </c>
    </row>
    <row r="259" spans="1:8">
      <c r="A259" s="3" t="s">
        <v>86</v>
      </c>
      <c r="B259" s="5">
        <v>28670.43</v>
      </c>
      <c r="C259" s="5">
        <v>7574</v>
      </c>
      <c r="D259" s="5">
        <v>82.7</v>
      </c>
      <c r="E259" s="5">
        <v>2.74</v>
      </c>
      <c r="F259" s="12">
        <v>1</v>
      </c>
      <c r="G259" s="12">
        <v>0</v>
      </c>
      <c r="H259" s="5">
        <v>697888.09</v>
      </c>
    </row>
    <row r="260" spans="1:8">
      <c r="A260" s="3" t="s">
        <v>86</v>
      </c>
      <c r="B260" s="5">
        <v>44189.34</v>
      </c>
      <c r="C260" s="5">
        <v>8634</v>
      </c>
      <c r="D260" s="5">
        <v>87.5</v>
      </c>
      <c r="E260" s="5">
        <v>3.69</v>
      </c>
      <c r="F260" s="12">
        <v>1</v>
      </c>
      <c r="G260" s="12">
        <v>0</v>
      </c>
      <c r="H260" s="5">
        <v>746115.59</v>
      </c>
    </row>
    <row r="261" spans="1:8">
      <c r="A261" s="3" t="s">
        <v>86</v>
      </c>
      <c r="B261" s="5">
        <v>38397.82</v>
      </c>
      <c r="C261" s="5">
        <v>7836</v>
      </c>
      <c r="D261" s="5">
        <v>92.2</v>
      </c>
      <c r="E261" s="5">
        <v>1.82</v>
      </c>
      <c r="F261" s="12">
        <v>1</v>
      </c>
      <c r="G261" s="12">
        <v>0</v>
      </c>
      <c r="H261" s="5">
        <v>776110.32</v>
      </c>
    </row>
    <row r="262" spans="1:8">
      <c r="A262" s="3" t="s">
        <v>87</v>
      </c>
      <c r="B262" s="5">
        <v>14519.37</v>
      </c>
      <c r="C262" s="5">
        <v>3047</v>
      </c>
      <c r="D262" s="5">
        <v>90.3</v>
      </c>
      <c r="E262" s="5">
        <v>6.62</v>
      </c>
      <c r="F262" s="12">
        <v>0</v>
      </c>
      <c r="G262" s="12">
        <v>1</v>
      </c>
      <c r="H262" s="5">
        <v>528852.62</v>
      </c>
    </row>
    <row r="263" spans="1:8">
      <c r="A263" s="3" t="s">
        <v>87</v>
      </c>
      <c r="B263" s="5">
        <v>43288.2</v>
      </c>
      <c r="C263" s="5">
        <v>4783</v>
      </c>
      <c r="D263" s="5">
        <v>87.3</v>
      </c>
      <c r="E263" s="5">
        <v>3.37</v>
      </c>
      <c r="F263" s="12">
        <v>0</v>
      </c>
      <c r="G263" s="12">
        <v>1</v>
      </c>
      <c r="H263" s="5">
        <v>605751.32999999996</v>
      </c>
    </row>
    <row r="264" spans="1:8">
      <c r="A264" s="3" t="s">
        <v>87</v>
      </c>
      <c r="B264" s="5">
        <v>51450.55</v>
      </c>
      <c r="C264" s="5">
        <v>4902</v>
      </c>
      <c r="D264" s="5">
        <v>83.7</v>
      </c>
      <c r="E264" s="5">
        <v>6.92</v>
      </c>
      <c r="F264" s="12">
        <v>0</v>
      </c>
      <c r="G264" s="12">
        <v>1</v>
      </c>
      <c r="H264" s="5">
        <v>677640.65</v>
      </c>
    </row>
    <row r="265" spans="1:8">
      <c r="A265" s="3" t="s">
        <v>87</v>
      </c>
      <c r="B265" s="5">
        <v>58688.26</v>
      </c>
      <c r="C265" s="5">
        <v>4022</v>
      </c>
      <c r="D265" s="5">
        <v>93.8</v>
      </c>
      <c r="E265" s="5">
        <v>11.78</v>
      </c>
      <c r="F265" s="12">
        <v>0</v>
      </c>
      <c r="G265" s="12">
        <v>1</v>
      </c>
      <c r="H265" s="5">
        <v>636613.23</v>
      </c>
    </row>
    <row r="266" spans="1:8">
      <c r="A266" s="3" t="s">
        <v>88</v>
      </c>
      <c r="B266" s="5">
        <v>58981.91</v>
      </c>
      <c r="C266" s="5">
        <v>7324</v>
      </c>
      <c r="D266" s="5">
        <v>95.8</v>
      </c>
      <c r="E266" s="5">
        <v>0.5</v>
      </c>
      <c r="F266" s="12">
        <v>0</v>
      </c>
      <c r="G266" s="12">
        <v>1</v>
      </c>
      <c r="H266" s="5">
        <v>708985.19</v>
      </c>
    </row>
    <row r="267" spans="1:8">
      <c r="A267" s="3" t="s">
        <v>88</v>
      </c>
      <c r="B267" s="5">
        <v>73454.539999999994</v>
      </c>
      <c r="C267" s="5">
        <v>8129</v>
      </c>
      <c r="D267" s="5">
        <v>85.2</v>
      </c>
      <c r="E267" s="5">
        <v>0.88</v>
      </c>
      <c r="F267" s="12">
        <v>0</v>
      </c>
      <c r="G267" s="12">
        <v>1</v>
      </c>
      <c r="H267" s="5">
        <v>767792.94</v>
      </c>
    </row>
    <row r="268" spans="1:8">
      <c r="A268" s="3" t="s">
        <v>88</v>
      </c>
      <c r="B268" s="5">
        <v>56602.39</v>
      </c>
      <c r="C268" s="5">
        <v>7969</v>
      </c>
      <c r="D268" s="5">
        <v>88.3</v>
      </c>
      <c r="E268" s="5">
        <v>2.25</v>
      </c>
      <c r="F268" s="12">
        <v>0</v>
      </c>
      <c r="G268" s="12">
        <v>1</v>
      </c>
      <c r="H268" s="5">
        <v>745580.51</v>
      </c>
    </row>
    <row r="269" spans="1:8">
      <c r="A269" s="3" t="s">
        <v>88</v>
      </c>
      <c r="B269" s="5">
        <v>67722.289999999994</v>
      </c>
      <c r="C269" s="5">
        <v>7240</v>
      </c>
      <c r="D269" s="5">
        <v>92.9</v>
      </c>
      <c r="E269" s="5">
        <v>0.28999999999999998</v>
      </c>
      <c r="F269" s="12">
        <v>0</v>
      </c>
      <c r="G269" s="12">
        <v>1</v>
      </c>
      <c r="H269" s="5">
        <v>762328.31</v>
      </c>
    </row>
    <row r="270" spans="1:8">
      <c r="A270" s="3" t="s">
        <v>89</v>
      </c>
      <c r="B270" s="5">
        <v>48752.92</v>
      </c>
      <c r="C270" s="5">
        <v>8052</v>
      </c>
      <c r="D270" s="5">
        <v>94.9</v>
      </c>
      <c r="E270" s="5">
        <v>0.65</v>
      </c>
      <c r="F270" s="12">
        <v>0</v>
      </c>
      <c r="G270" s="12">
        <v>0</v>
      </c>
      <c r="H270" s="5">
        <v>660633.99</v>
      </c>
    </row>
    <row r="271" spans="1:8">
      <c r="A271" s="3" t="s">
        <v>89</v>
      </c>
      <c r="B271" s="5">
        <v>23914.97</v>
      </c>
      <c r="C271" s="5">
        <v>8018</v>
      </c>
      <c r="D271" s="5">
        <v>89</v>
      </c>
      <c r="E271" s="5">
        <v>0.2</v>
      </c>
      <c r="F271" s="12">
        <v>0</v>
      </c>
      <c r="G271" s="12">
        <v>0</v>
      </c>
      <c r="H271" s="5">
        <v>739374.56</v>
      </c>
    </row>
    <row r="272" spans="1:8">
      <c r="A272" s="3" t="s">
        <v>89</v>
      </c>
      <c r="B272" s="5">
        <v>61995.3</v>
      </c>
      <c r="C272" s="5">
        <v>10192</v>
      </c>
      <c r="D272" s="5">
        <v>87.6</v>
      </c>
      <c r="E272" s="5">
        <v>3.63</v>
      </c>
      <c r="F272" s="12">
        <v>0</v>
      </c>
      <c r="G272" s="12">
        <v>0</v>
      </c>
      <c r="H272" s="5">
        <v>799756.46</v>
      </c>
    </row>
    <row r="273" spans="1:8">
      <c r="A273" s="3" t="s">
        <v>89</v>
      </c>
      <c r="B273" s="5">
        <v>29344.93</v>
      </c>
      <c r="C273" s="5">
        <v>7446</v>
      </c>
      <c r="D273" s="5">
        <v>86.2</v>
      </c>
      <c r="E273" s="5">
        <v>0.2</v>
      </c>
      <c r="F273" s="12">
        <v>0</v>
      </c>
      <c r="G273" s="12">
        <v>0</v>
      </c>
      <c r="H273" s="5">
        <v>593343</v>
      </c>
    </row>
    <row r="274" spans="1:8">
      <c r="A274" s="3" t="s">
        <v>90</v>
      </c>
      <c r="B274" s="5">
        <v>50532.17</v>
      </c>
      <c r="C274" s="5">
        <v>5689</v>
      </c>
      <c r="D274" s="5">
        <v>85.6</v>
      </c>
      <c r="E274" s="5">
        <v>6.23</v>
      </c>
      <c r="F274" s="12">
        <v>0</v>
      </c>
      <c r="G274" s="12">
        <v>1</v>
      </c>
      <c r="H274" s="5">
        <v>645039.97</v>
      </c>
    </row>
    <row r="275" spans="1:8">
      <c r="A275" s="3" t="s">
        <v>90</v>
      </c>
      <c r="B275" s="5">
        <v>17562.57</v>
      </c>
      <c r="C275" s="5">
        <v>3326</v>
      </c>
      <c r="D275" s="5">
        <v>88.1</v>
      </c>
      <c r="E275" s="5">
        <v>1.04</v>
      </c>
      <c r="F275" s="12">
        <v>0</v>
      </c>
      <c r="G275" s="12">
        <v>1</v>
      </c>
      <c r="H275" s="5">
        <v>561597.32999999996</v>
      </c>
    </row>
    <row r="276" spans="1:8">
      <c r="A276" s="3" t="s">
        <v>90</v>
      </c>
      <c r="B276" s="5">
        <v>47648.71</v>
      </c>
      <c r="C276" s="5">
        <v>5767</v>
      </c>
      <c r="D276" s="5">
        <v>89.8</v>
      </c>
      <c r="E276" s="5">
        <v>1.76</v>
      </c>
      <c r="F276" s="12">
        <v>0</v>
      </c>
      <c r="G276" s="12">
        <v>1</v>
      </c>
      <c r="H276" s="5">
        <v>635837.74</v>
      </c>
    </row>
    <row r="277" spans="1:8">
      <c r="A277" s="3" t="s">
        <v>90</v>
      </c>
      <c r="B277" s="5">
        <v>38297.58</v>
      </c>
      <c r="C277" s="5">
        <v>5893</v>
      </c>
      <c r="D277" s="5">
        <v>77.599999999999994</v>
      </c>
      <c r="E277" s="5">
        <v>2.86</v>
      </c>
      <c r="F277" s="12">
        <v>0</v>
      </c>
      <c r="G277" s="12">
        <v>1</v>
      </c>
      <c r="H277" s="5">
        <v>686737.87</v>
      </c>
    </row>
    <row r="278" spans="1:8">
      <c r="A278" s="3" t="s">
        <v>91</v>
      </c>
      <c r="B278" s="5">
        <v>61784.11</v>
      </c>
      <c r="C278" s="5">
        <v>8564</v>
      </c>
      <c r="D278" s="5">
        <v>87.4</v>
      </c>
      <c r="E278" s="5">
        <v>18.14</v>
      </c>
      <c r="F278" s="12">
        <v>1</v>
      </c>
      <c r="G278" s="12">
        <v>0</v>
      </c>
      <c r="H278" s="5">
        <v>673076.34</v>
      </c>
    </row>
    <row r="279" spans="1:8">
      <c r="A279" s="3" t="s">
        <v>91</v>
      </c>
      <c r="B279" s="5">
        <v>36832.33</v>
      </c>
      <c r="C279" s="5">
        <v>8001</v>
      </c>
      <c r="D279" s="5">
        <v>88.7</v>
      </c>
      <c r="E279" s="5">
        <v>3.39</v>
      </c>
      <c r="F279" s="12">
        <v>1</v>
      </c>
      <c r="G279" s="12">
        <v>0</v>
      </c>
      <c r="H279" s="5">
        <v>738548.42</v>
      </c>
    </row>
    <row r="280" spans="1:8">
      <c r="A280" s="3" t="s">
        <v>91</v>
      </c>
      <c r="B280" s="5">
        <v>48609.41</v>
      </c>
      <c r="C280" s="5">
        <v>9324</v>
      </c>
      <c r="D280" s="5">
        <v>86.5</v>
      </c>
      <c r="E280" s="5">
        <v>1.44</v>
      </c>
      <c r="F280" s="12">
        <v>1</v>
      </c>
      <c r="G280" s="12">
        <v>0</v>
      </c>
      <c r="H280" s="5">
        <v>756619.77</v>
      </c>
    </row>
    <row r="281" spans="1:8">
      <c r="A281" s="3" t="s">
        <v>91</v>
      </c>
      <c r="B281" s="5">
        <v>70284.06</v>
      </c>
      <c r="C281" s="5">
        <v>9109</v>
      </c>
      <c r="D281" s="5">
        <v>87</v>
      </c>
      <c r="E281" s="5">
        <v>3.65</v>
      </c>
      <c r="F281" s="12">
        <v>1</v>
      </c>
      <c r="G281" s="12">
        <v>0</v>
      </c>
      <c r="H281" s="5">
        <v>761122.42</v>
      </c>
    </row>
    <row r="282" spans="1:8">
      <c r="A282" s="3" t="s">
        <v>92</v>
      </c>
      <c r="B282" s="5">
        <v>45940.39</v>
      </c>
      <c r="C282" s="5">
        <v>4022</v>
      </c>
      <c r="D282" s="5">
        <v>83</v>
      </c>
      <c r="E282" s="5">
        <v>1.23</v>
      </c>
      <c r="F282" s="12">
        <v>1</v>
      </c>
      <c r="G282" s="12">
        <v>1</v>
      </c>
      <c r="H282" s="5">
        <v>524899.56999999995</v>
      </c>
    </row>
    <row r="283" spans="1:8">
      <c r="A283" s="3" t="s">
        <v>92</v>
      </c>
      <c r="B283" s="5">
        <v>34771.26</v>
      </c>
      <c r="C283" s="5">
        <v>4355</v>
      </c>
      <c r="D283" s="5">
        <v>87.9</v>
      </c>
      <c r="E283" s="5">
        <v>3.09</v>
      </c>
      <c r="F283" s="12">
        <v>1</v>
      </c>
      <c r="G283" s="12">
        <v>1</v>
      </c>
      <c r="H283" s="5">
        <v>555557.77</v>
      </c>
    </row>
    <row r="284" spans="1:8">
      <c r="A284" s="3" t="s">
        <v>92</v>
      </c>
      <c r="B284" s="5">
        <v>66104.19</v>
      </c>
      <c r="C284" s="5">
        <v>5745</v>
      </c>
      <c r="D284" s="5">
        <v>95.8</v>
      </c>
      <c r="E284" s="5">
        <v>3.15</v>
      </c>
      <c r="F284" s="12">
        <v>1</v>
      </c>
      <c r="G284" s="12">
        <v>1</v>
      </c>
      <c r="H284" s="5">
        <v>714083.68</v>
      </c>
    </row>
    <row r="285" spans="1:8">
      <c r="A285" s="3" t="s">
        <v>92</v>
      </c>
      <c r="B285" s="5">
        <v>18599.21</v>
      </c>
      <c r="C285" s="5">
        <v>3027</v>
      </c>
      <c r="D285" s="5">
        <v>80.900000000000006</v>
      </c>
      <c r="E285" s="5">
        <v>6.44</v>
      </c>
      <c r="F285" s="12">
        <v>1</v>
      </c>
      <c r="G285" s="12">
        <v>1</v>
      </c>
      <c r="H285" s="5">
        <v>497439.82</v>
      </c>
    </row>
    <row r="286" spans="1:8">
      <c r="A286" s="3" t="s">
        <v>93</v>
      </c>
      <c r="B286" s="5">
        <v>60183.06</v>
      </c>
      <c r="C286" s="5">
        <v>5562</v>
      </c>
      <c r="D286" s="5">
        <v>86.3</v>
      </c>
      <c r="E286" s="5">
        <v>0.2</v>
      </c>
      <c r="F286" s="12">
        <v>0</v>
      </c>
      <c r="G286" s="12">
        <v>0</v>
      </c>
      <c r="H286" s="5">
        <v>636775.66</v>
      </c>
    </row>
    <row r="287" spans="1:8">
      <c r="A287" s="3" t="s">
        <v>93</v>
      </c>
      <c r="B287" s="5">
        <v>74539.14</v>
      </c>
      <c r="C287" s="5">
        <v>4487</v>
      </c>
      <c r="D287" s="5">
        <v>90.4</v>
      </c>
      <c r="E287" s="5">
        <v>0.59</v>
      </c>
      <c r="F287" s="12">
        <v>0</v>
      </c>
      <c r="G287" s="12">
        <v>0</v>
      </c>
      <c r="H287" s="5">
        <v>633009.53</v>
      </c>
    </row>
    <row r="288" spans="1:8">
      <c r="A288" s="3" t="s">
        <v>93</v>
      </c>
      <c r="B288" s="5">
        <v>55371.97</v>
      </c>
      <c r="C288" s="5">
        <v>4162</v>
      </c>
      <c r="D288" s="5">
        <v>92</v>
      </c>
      <c r="E288" s="5">
        <v>0.2</v>
      </c>
      <c r="F288" s="12">
        <v>0</v>
      </c>
      <c r="G288" s="12">
        <v>0</v>
      </c>
      <c r="H288" s="5">
        <v>609949</v>
      </c>
    </row>
    <row r="289" spans="1:8">
      <c r="A289" s="3" t="s">
        <v>93</v>
      </c>
      <c r="B289" s="5">
        <v>40928.69</v>
      </c>
      <c r="C289" s="5">
        <v>4094</v>
      </c>
      <c r="D289" s="5">
        <v>82.4</v>
      </c>
      <c r="E289" s="5">
        <v>1.36</v>
      </c>
      <c r="F289" s="12">
        <v>0</v>
      </c>
      <c r="G289" s="12">
        <v>0</v>
      </c>
      <c r="H289" s="5">
        <v>548103.69999999995</v>
      </c>
    </row>
    <row r="290" spans="1:8">
      <c r="A290" s="3" t="s">
        <v>94</v>
      </c>
      <c r="B290" s="5">
        <v>70012.41</v>
      </c>
      <c r="C290" s="5">
        <v>8484</v>
      </c>
      <c r="D290" s="5">
        <v>72.900000000000006</v>
      </c>
      <c r="E290" s="5">
        <v>3.34</v>
      </c>
      <c r="F290" s="12">
        <v>0</v>
      </c>
      <c r="G290" s="12">
        <v>0</v>
      </c>
      <c r="H290" s="5">
        <v>729424.42</v>
      </c>
    </row>
    <row r="291" spans="1:8">
      <c r="A291" s="3" t="s">
        <v>94</v>
      </c>
      <c r="B291" s="5">
        <v>68909.259999999995</v>
      </c>
      <c r="C291" s="5">
        <v>7794</v>
      </c>
      <c r="D291" s="5">
        <v>89</v>
      </c>
      <c r="E291" s="5">
        <v>0.33</v>
      </c>
      <c r="F291" s="12">
        <v>0</v>
      </c>
      <c r="G291" s="12">
        <v>0</v>
      </c>
      <c r="H291" s="5">
        <v>696261.49</v>
      </c>
    </row>
    <row r="292" spans="1:8">
      <c r="A292" s="3" t="s">
        <v>94</v>
      </c>
      <c r="B292" s="5">
        <v>56737.3</v>
      </c>
      <c r="C292" s="5">
        <v>8300</v>
      </c>
      <c r="D292" s="5">
        <v>83.2</v>
      </c>
      <c r="E292" s="5">
        <v>3.44</v>
      </c>
      <c r="F292" s="12">
        <v>0</v>
      </c>
      <c r="G292" s="12">
        <v>0</v>
      </c>
      <c r="H292" s="5">
        <v>813316.71</v>
      </c>
    </row>
    <row r="293" spans="1:8">
      <c r="A293" s="3" t="s">
        <v>94</v>
      </c>
      <c r="B293" s="5">
        <v>54080.91</v>
      </c>
      <c r="C293" s="5">
        <v>7083</v>
      </c>
      <c r="D293" s="5">
        <v>97</v>
      </c>
      <c r="E293" s="5">
        <v>5.33</v>
      </c>
      <c r="F293" s="12">
        <v>0</v>
      </c>
      <c r="G293" s="12">
        <v>0</v>
      </c>
      <c r="H293" s="5">
        <v>702068.92</v>
      </c>
    </row>
    <row r="294" spans="1:8">
      <c r="A294" s="3" t="s">
        <v>95</v>
      </c>
      <c r="B294" s="5">
        <v>51996.32</v>
      </c>
      <c r="C294" s="5">
        <v>3834</v>
      </c>
      <c r="D294" s="5">
        <v>86.7</v>
      </c>
      <c r="E294" s="5">
        <v>6.04</v>
      </c>
      <c r="F294" s="12">
        <v>0</v>
      </c>
      <c r="G294" s="12">
        <v>1</v>
      </c>
      <c r="H294" s="5">
        <v>546223.69999999995</v>
      </c>
    </row>
    <row r="295" spans="1:8">
      <c r="A295" s="3" t="s">
        <v>95</v>
      </c>
      <c r="B295" s="5">
        <v>40102.879999999997</v>
      </c>
      <c r="C295" s="5">
        <v>2358</v>
      </c>
      <c r="D295" s="5">
        <v>88.7</v>
      </c>
      <c r="E295" s="5">
        <v>1.6</v>
      </c>
      <c r="F295" s="12">
        <v>0</v>
      </c>
      <c r="G295" s="12">
        <v>1</v>
      </c>
      <c r="H295" s="5">
        <v>533121.26</v>
      </c>
    </row>
    <row r="296" spans="1:8">
      <c r="A296" s="3" t="s">
        <v>95</v>
      </c>
      <c r="B296" s="5">
        <v>59825.51</v>
      </c>
      <c r="C296" s="5">
        <v>1231</v>
      </c>
      <c r="D296" s="5">
        <v>84.8</v>
      </c>
      <c r="E296" s="5">
        <v>8.9600000000000009</v>
      </c>
      <c r="F296" s="12">
        <v>0</v>
      </c>
      <c r="G296" s="12">
        <v>1</v>
      </c>
      <c r="H296" s="5">
        <v>498970.32</v>
      </c>
    </row>
    <row r="297" spans="1:8">
      <c r="A297" s="3" t="s">
        <v>95</v>
      </c>
      <c r="B297" s="5">
        <v>27398.28</v>
      </c>
      <c r="C297" s="5">
        <v>1723</v>
      </c>
      <c r="D297" s="5">
        <v>81</v>
      </c>
      <c r="E297" s="5">
        <v>0.74</v>
      </c>
      <c r="F297" s="12">
        <v>0</v>
      </c>
      <c r="G297" s="12">
        <v>1</v>
      </c>
      <c r="H297" s="5">
        <v>487738.26</v>
      </c>
    </row>
    <row r="298" spans="1:8">
      <c r="A298" s="3" t="s">
        <v>96</v>
      </c>
      <c r="B298" s="5">
        <v>55599.56</v>
      </c>
      <c r="C298" s="5">
        <v>5896</v>
      </c>
      <c r="D298" s="5">
        <v>93.1</v>
      </c>
      <c r="E298" s="5">
        <v>6.13</v>
      </c>
      <c r="F298" s="12">
        <v>0</v>
      </c>
      <c r="G298" s="12">
        <v>1</v>
      </c>
      <c r="H298" s="5">
        <v>668459.37</v>
      </c>
    </row>
    <row r="299" spans="1:8">
      <c r="A299" s="3" t="s">
        <v>96</v>
      </c>
      <c r="B299" s="5">
        <v>55477.61</v>
      </c>
      <c r="C299" s="5">
        <v>5903</v>
      </c>
      <c r="D299" s="5">
        <v>96.2</v>
      </c>
      <c r="E299" s="5">
        <v>1.41</v>
      </c>
      <c r="F299" s="12">
        <v>0</v>
      </c>
      <c r="G299" s="12">
        <v>1</v>
      </c>
      <c r="H299" s="5">
        <v>763162.45</v>
      </c>
    </row>
    <row r="300" spans="1:8">
      <c r="A300" s="3" t="s">
        <v>96</v>
      </c>
      <c r="B300" s="5">
        <v>46174.7</v>
      </c>
      <c r="C300" s="5">
        <v>4898</v>
      </c>
      <c r="D300" s="5">
        <v>91.7</v>
      </c>
      <c r="E300" s="5">
        <v>3.75</v>
      </c>
      <c r="F300" s="12">
        <v>0</v>
      </c>
      <c r="G300" s="12">
        <v>1</v>
      </c>
      <c r="H300" s="5">
        <v>599017.32999999996</v>
      </c>
    </row>
    <row r="301" spans="1:8">
      <c r="A301" s="3" t="s">
        <v>96</v>
      </c>
      <c r="B301" s="5">
        <v>24362.98</v>
      </c>
      <c r="C301" s="5">
        <v>1462</v>
      </c>
      <c r="D301" s="5">
        <v>89.3</v>
      </c>
      <c r="E301" s="5">
        <v>15.06</v>
      </c>
      <c r="F301" s="12">
        <v>0</v>
      </c>
      <c r="G301" s="12">
        <v>1</v>
      </c>
      <c r="H301" s="5">
        <v>401582.58</v>
      </c>
    </row>
    <row r="302" spans="1:8">
      <c r="A302" s="3" t="s">
        <v>97</v>
      </c>
      <c r="B302" s="5">
        <v>40647.67</v>
      </c>
      <c r="C302" s="5">
        <v>8252</v>
      </c>
      <c r="D302" s="5">
        <v>88.2</v>
      </c>
      <c r="E302" s="5">
        <v>5.07</v>
      </c>
      <c r="F302" s="12">
        <v>0</v>
      </c>
      <c r="G302" s="12">
        <v>0</v>
      </c>
      <c r="H302" s="5">
        <v>703812.99</v>
      </c>
    </row>
    <row r="303" spans="1:8">
      <c r="A303" s="3" t="s">
        <v>97</v>
      </c>
      <c r="B303" s="5">
        <v>63986.98</v>
      </c>
      <c r="C303" s="5">
        <v>7989</v>
      </c>
      <c r="D303" s="5">
        <v>83.3</v>
      </c>
      <c r="E303" s="5">
        <v>3.6</v>
      </c>
      <c r="F303" s="12">
        <v>0</v>
      </c>
      <c r="G303" s="12">
        <v>0</v>
      </c>
      <c r="H303" s="5">
        <v>724346.73</v>
      </c>
    </row>
    <row r="304" spans="1:8">
      <c r="A304" s="3" t="s">
        <v>97</v>
      </c>
      <c r="B304" s="5">
        <v>52843.75</v>
      </c>
      <c r="C304" s="5">
        <v>8268</v>
      </c>
      <c r="D304" s="5">
        <v>87.3</v>
      </c>
      <c r="E304" s="5">
        <v>4.3899999999999997</v>
      </c>
      <c r="F304" s="12">
        <v>0</v>
      </c>
      <c r="G304" s="12">
        <v>0</v>
      </c>
      <c r="H304" s="5">
        <v>730890.01</v>
      </c>
    </row>
    <row r="305" spans="1:8">
      <c r="A305" s="3" t="s">
        <v>97</v>
      </c>
      <c r="B305" s="5">
        <v>31997.25</v>
      </c>
      <c r="C305" s="5">
        <v>8183</v>
      </c>
      <c r="D305" s="5">
        <v>93</v>
      </c>
      <c r="E305" s="5">
        <v>2.79</v>
      </c>
      <c r="F305" s="12">
        <v>0</v>
      </c>
      <c r="G305" s="12">
        <v>0</v>
      </c>
      <c r="H305" s="5">
        <v>780580.95</v>
      </c>
    </row>
    <row r="306" spans="1:8">
      <c r="A306" s="3" t="s">
        <v>98</v>
      </c>
      <c r="B306" s="5">
        <v>54948.02</v>
      </c>
      <c r="C306" s="5">
        <v>6534</v>
      </c>
      <c r="D306" s="5">
        <v>94.5</v>
      </c>
      <c r="E306" s="5">
        <v>1.56</v>
      </c>
      <c r="F306" s="12">
        <v>1</v>
      </c>
      <c r="G306" s="12">
        <v>0</v>
      </c>
      <c r="H306" s="5">
        <v>727957.48</v>
      </c>
    </row>
    <row r="307" spans="1:8">
      <c r="A307" s="3" t="s">
        <v>98</v>
      </c>
      <c r="B307" s="5">
        <v>46146.239999999998</v>
      </c>
      <c r="C307" s="5">
        <v>5804</v>
      </c>
      <c r="D307" s="5">
        <v>86.9</v>
      </c>
      <c r="E307" s="5">
        <v>15.82</v>
      </c>
      <c r="F307" s="12">
        <v>1</v>
      </c>
      <c r="G307" s="12">
        <v>0</v>
      </c>
      <c r="H307" s="5">
        <v>538376</v>
      </c>
    </row>
    <row r="308" spans="1:8">
      <c r="A308" s="3" t="s">
        <v>98</v>
      </c>
      <c r="B308" s="5">
        <v>22387.26</v>
      </c>
      <c r="C308" s="5">
        <v>6301</v>
      </c>
      <c r="D308" s="5">
        <v>85.9</v>
      </c>
      <c r="E308" s="5">
        <v>1.17</v>
      </c>
      <c r="F308" s="12">
        <v>1</v>
      </c>
      <c r="G308" s="12">
        <v>0</v>
      </c>
      <c r="H308" s="5">
        <v>665342.49</v>
      </c>
    </row>
    <row r="309" spans="1:8">
      <c r="A309" s="3" t="s">
        <v>98</v>
      </c>
      <c r="B309" s="5">
        <v>60684.05</v>
      </c>
      <c r="C309" s="5">
        <v>6399</v>
      </c>
      <c r="D309" s="5">
        <v>99</v>
      </c>
      <c r="E309" s="5">
        <v>3.82</v>
      </c>
      <c r="F309" s="12">
        <v>1</v>
      </c>
      <c r="G309" s="12">
        <v>0</v>
      </c>
      <c r="H309" s="5">
        <v>651164.18000000005</v>
      </c>
    </row>
    <row r="310" spans="1:8">
      <c r="A310" s="3" t="s">
        <v>99</v>
      </c>
      <c r="B310" s="5">
        <v>48465.599999999999</v>
      </c>
      <c r="C310" s="5">
        <v>5759</v>
      </c>
      <c r="D310" s="5">
        <v>87.5</v>
      </c>
      <c r="E310" s="5">
        <v>4.1399999999999997</v>
      </c>
      <c r="F310" s="12">
        <v>1</v>
      </c>
      <c r="G310" s="12">
        <v>1</v>
      </c>
      <c r="H310" s="5">
        <v>628538.30000000005</v>
      </c>
    </row>
    <row r="311" spans="1:8">
      <c r="A311" s="3" t="s">
        <v>99</v>
      </c>
      <c r="B311" s="5">
        <v>23702.38</v>
      </c>
      <c r="C311" s="5">
        <v>5285</v>
      </c>
      <c r="D311" s="5">
        <v>79.7</v>
      </c>
      <c r="E311" s="5">
        <v>1.1000000000000001</v>
      </c>
      <c r="F311" s="12">
        <v>1</v>
      </c>
      <c r="G311" s="12">
        <v>1</v>
      </c>
      <c r="H311" s="5">
        <v>536524.84</v>
      </c>
    </row>
    <row r="312" spans="1:8">
      <c r="A312" s="3" t="s">
        <v>99</v>
      </c>
      <c r="B312" s="5">
        <v>54322.94</v>
      </c>
      <c r="C312" s="5">
        <v>5434</v>
      </c>
      <c r="D312" s="5">
        <v>85.7</v>
      </c>
      <c r="E312" s="5">
        <v>10.6</v>
      </c>
      <c r="F312" s="12">
        <v>1</v>
      </c>
      <c r="G312" s="12">
        <v>1</v>
      </c>
      <c r="H312" s="5">
        <v>621677.30000000005</v>
      </c>
    </row>
    <row r="313" spans="1:8">
      <c r="A313" s="3" t="s">
        <v>99</v>
      </c>
      <c r="B313" s="5">
        <v>86026.58</v>
      </c>
      <c r="C313" s="5">
        <v>7479</v>
      </c>
      <c r="D313" s="5">
        <v>89</v>
      </c>
      <c r="E313" s="5">
        <v>0.9</v>
      </c>
      <c r="F313" s="12">
        <v>1</v>
      </c>
      <c r="G313" s="12">
        <v>1</v>
      </c>
      <c r="H313" s="5">
        <v>771129.07</v>
      </c>
    </row>
    <row r="314" spans="1:8">
      <c r="A314" s="3" t="s">
        <v>100</v>
      </c>
      <c r="B314" s="5">
        <v>78967.520000000004</v>
      </c>
      <c r="C314" s="5">
        <v>6164</v>
      </c>
      <c r="D314" s="5">
        <v>85.5</v>
      </c>
      <c r="E314" s="5">
        <v>0.2</v>
      </c>
      <c r="F314" s="12">
        <v>0</v>
      </c>
      <c r="G314" s="12">
        <v>0</v>
      </c>
      <c r="H314" s="5">
        <v>702052.47</v>
      </c>
    </row>
    <row r="315" spans="1:8">
      <c r="A315" s="3" t="s">
        <v>100</v>
      </c>
      <c r="B315" s="5">
        <v>46767.99</v>
      </c>
      <c r="C315" s="5">
        <v>7973</v>
      </c>
      <c r="D315" s="5">
        <v>94.8</v>
      </c>
      <c r="E315" s="5">
        <v>4.67</v>
      </c>
      <c r="F315" s="12">
        <v>0</v>
      </c>
      <c r="G315" s="12">
        <v>0</v>
      </c>
      <c r="H315" s="5">
        <v>688368.46</v>
      </c>
    </row>
    <row r="316" spans="1:8">
      <c r="A316" s="3" t="s">
        <v>100</v>
      </c>
      <c r="B316" s="5">
        <v>62507.16</v>
      </c>
      <c r="C316" s="5">
        <v>6000</v>
      </c>
      <c r="D316" s="5">
        <v>98.2</v>
      </c>
      <c r="E316" s="5">
        <v>4.38</v>
      </c>
      <c r="F316" s="12">
        <v>0</v>
      </c>
      <c r="G316" s="12">
        <v>0</v>
      </c>
      <c r="H316" s="5">
        <v>712375.77</v>
      </c>
    </row>
    <row r="317" spans="1:8">
      <c r="A317" s="3" t="s">
        <v>100</v>
      </c>
      <c r="B317" s="5">
        <v>66456.28</v>
      </c>
      <c r="C317" s="5">
        <v>9967</v>
      </c>
      <c r="D317" s="5">
        <v>94.7</v>
      </c>
      <c r="E317" s="5">
        <v>4.4800000000000004</v>
      </c>
      <c r="F317" s="12">
        <v>0</v>
      </c>
      <c r="G317" s="12">
        <v>0</v>
      </c>
      <c r="H317" s="5">
        <v>844710.67</v>
      </c>
    </row>
    <row r="318" spans="1:8">
      <c r="A318" s="3" t="s">
        <v>101</v>
      </c>
      <c r="B318" s="5">
        <v>76614.320000000007</v>
      </c>
      <c r="C318" s="5">
        <v>5639</v>
      </c>
      <c r="D318" s="5">
        <v>92.9</v>
      </c>
      <c r="E318" s="5">
        <v>1.02</v>
      </c>
      <c r="F318" s="12">
        <v>0</v>
      </c>
      <c r="G318" s="12">
        <v>0</v>
      </c>
      <c r="H318" s="5">
        <v>620264.19999999995</v>
      </c>
    </row>
    <row r="319" spans="1:8">
      <c r="A319" s="3" t="s">
        <v>101</v>
      </c>
      <c r="B319" s="5">
        <v>24088.06</v>
      </c>
      <c r="C319" s="5">
        <v>3466</v>
      </c>
      <c r="D319" s="5">
        <v>88</v>
      </c>
      <c r="E319" s="5">
        <v>0.2</v>
      </c>
      <c r="F319" s="12">
        <v>0</v>
      </c>
      <c r="G319" s="12">
        <v>0</v>
      </c>
      <c r="H319" s="5">
        <v>536845.42000000004</v>
      </c>
    </row>
    <row r="320" spans="1:8">
      <c r="A320" s="3" t="s">
        <v>101</v>
      </c>
      <c r="B320" s="5">
        <v>81902.58</v>
      </c>
      <c r="C320" s="5">
        <v>7775</v>
      </c>
      <c r="D320" s="5">
        <v>85.2</v>
      </c>
      <c r="E320" s="5">
        <v>4.8899999999999997</v>
      </c>
      <c r="F320" s="12">
        <v>0</v>
      </c>
      <c r="G320" s="12">
        <v>0</v>
      </c>
      <c r="H320" s="5">
        <v>726776.22</v>
      </c>
    </row>
    <row r="321" spans="1:8">
      <c r="A321" s="3" t="s">
        <v>101</v>
      </c>
      <c r="B321" s="5">
        <v>40553.11</v>
      </c>
      <c r="C321" s="5">
        <v>5317</v>
      </c>
      <c r="D321" s="5">
        <v>84.3</v>
      </c>
      <c r="E321" s="5">
        <v>11.82</v>
      </c>
      <c r="F321" s="12">
        <v>0</v>
      </c>
      <c r="G321" s="12">
        <v>0</v>
      </c>
      <c r="H321" s="5">
        <v>559660.84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D5EAC-6EF1-4DA6-A865-0BEE46D2282C}">
  <dimension ref="A1:K321"/>
  <sheetViews>
    <sheetView workbookViewId="0">
      <selection activeCell="I2" sqref="I2"/>
    </sheetView>
  </sheetViews>
  <sheetFormatPr defaultRowHeight="14.4"/>
  <cols>
    <col min="1" max="1" width="17.77734375" style="3" customWidth="1"/>
    <col min="2" max="3" width="17.77734375" style="5" customWidth="1"/>
    <col min="4" max="4" width="17.33203125" style="5" customWidth="1"/>
    <col min="5" max="5" width="17.77734375" style="5" customWidth="1"/>
    <col min="6" max="6" width="18.109375" style="12" customWidth="1"/>
    <col min="7" max="7" width="23.109375" style="12" customWidth="1"/>
    <col min="8" max="8" width="17.77734375" style="5" customWidth="1"/>
    <col min="9" max="9" width="18.33203125" style="12" customWidth="1"/>
    <col min="10" max="10" width="14.21875" style="12" customWidth="1"/>
    <col min="11" max="11" width="14.77734375" style="12" customWidth="1"/>
  </cols>
  <sheetData>
    <row r="1" spans="1:11" ht="27.6">
      <c r="A1" s="1" t="s">
        <v>0</v>
      </c>
      <c r="B1" s="1" t="s">
        <v>4</v>
      </c>
      <c r="C1" s="1" t="s">
        <v>5</v>
      </c>
      <c r="D1" s="1" t="s">
        <v>8</v>
      </c>
      <c r="E1" s="1" t="s">
        <v>9</v>
      </c>
      <c r="F1" s="11" t="s">
        <v>122</v>
      </c>
      <c r="G1" s="11" t="s">
        <v>123</v>
      </c>
      <c r="H1" s="1" t="s">
        <v>12</v>
      </c>
      <c r="I1" s="1" t="s">
        <v>156</v>
      </c>
      <c r="J1" s="1" t="s">
        <v>157</v>
      </c>
      <c r="K1" s="1" t="s">
        <v>158</v>
      </c>
    </row>
    <row r="2" spans="1:11">
      <c r="A2" s="3" t="s">
        <v>49</v>
      </c>
      <c r="B2" s="5">
        <v>52758.01</v>
      </c>
      <c r="C2" s="5">
        <v>4063</v>
      </c>
      <c r="D2" s="5">
        <v>91.7</v>
      </c>
      <c r="E2" s="5">
        <v>0.92</v>
      </c>
      <c r="F2" s="12">
        <v>0</v>
      </c>
      <c r="G2" s="12">
        <v>0</v>
      </c>
      <c r="H2" s="5">
        <v>713611.16</v>
      </c>
      <c r="I2" s="19">
        <f xml:space="preserve"> 147642.16
+ 1.2034 * B2
+ 33.6227 * C2
+ 2893.1764 * D2
- 2862.4094 * E2
+ 11558.4348 * F2
- 244.4477 * G2</f>
        <v>610411.03856599994</v>
      </c>
      <c r="J2" s="12">
        <f>H2-I2</f>
        <v>103200.12143400009</v>
      </c>
      <c r="K2" s="12" t="str">
        <f xml:space="preserve"> IF(J2&gt;0, "Positive", "Negative")</f>
        <v>Positive</v>
      </c>
    </row>
    <row r="3" spans="1:11">
      <c r="A3" s="3" t="s">
        <v>79</v>
      </c>
      <c r="B3" s="5">
        <v>113736</v>
      </c>
      <c r="C3" s="5">
        <v>8961</v>
      </c>
      <c r="D3" s="5">
        <v>86.2</v>
      </c>
      <c r="E3" s="5">
        <v>21.63</v>
      </c>
      <c r="F3" s="12">
        <v>0</v>
      </c>
      <c r="G3" s="12">
        <v>1</v>
      </c>
      <c r="H3" s="5">
        <v>870937.4</v>
      </c>
      <c r="I3" s="19">
        <f xml:space="preserve"> 147642.16
+ 1.2034 * B3
+ 33.6227 * C3
+ 2893.1764 * D3
- 2862.4094 * E3
+ 11558.4348 * F3
- 244.4477 * G3</f>
        <v>773038.51975799992</v>
      </c>
      <c r="J3" s="12">
        <f>H3-I3</f>
        <v>97898.880242000101</v>
      </c>
      <c r="K3" s="12" t="str">
        <f xml:space="preserve"> IF(J3&gt;0, "Positive", "Negative")</f>
        <v>Positive</v>
      </c>
    </row>
    <row r="4" spans="1:11">
      <c r="A4" s="3" t="s">
        <v>72</v>
      </c>
      <c r="B4" s="5">
        <v>78111.97</v>
      </c>
      <c r="C4" s="5">
        <v>6389</v>
      </c>
      <c r="D4" s="5">
        <v>83.9</v>
      </c>
      <c r="E4" s="5">
        <v>3.05</v>
      </c>
      <c r="F4" s="12">
        <v>0</v>
      </c>
      <c r="G4" s="12">
        <v>0</v>
      </c>
      <c r="H4" s="5">
        <v>787715.51</v>
      </c>
      <c r="I4" s="19">
        <f xml:space="preserve"> 147642.16
+ 1.2034 * B4
+ 33.6227 * C4
+ 2893.1764 * D4
- 2862.4094 * E4
+ 11558.4348 * F4
- 244.4477 * G4</f>
        <v>690464.68628800008</v>
      </c>
      <c r="J4" s="12">
        <f>H4-I4</f>
        <v>97250.823711999925</v>
      </c>
      <c r="K4" s="12" t="str">
        <f xml:space="preserve"> IF(J4&gt;0, "Positive", "Negative")</f>
        <v>Positive</v>
      </c>
    </row>
    <row r="5" spans="1:11">
      <c r="A5" s="3" t="s">
        <v>47</v>
      </c>
      <c r="B5" s="5">
        <v>32266.639999999999</v>
      </c>
      <c r="C5" s="5">
        <v>2414</v>
      </c>
      <c r="D5" s="5">
        <v>92.1</v>
      </c>
      <c r="E5" s="5">
        <v>1.48</v>
      </c>
      <c r="F5" s="12">
        <v>0</v>
      </c>
      <c r="G5" s="12">
        <v>0</v>
      </c>
      <c r="H5" s="5">
        <v>625514.04</v>
      </c>
      <c r="I5" s="19">
        <f xml:space="preserve"> 147642.16
+ 1.2034 * B5
+ 33.6227 * C5
+ 2893.1764 * D5
- 2862.4094 * E5
+ 11558.4348 * F5
- 244.4477 * G5</f>
        <v>529862.21290399996</v>
      </c>
      <c r="J5" s="12">
        <f>H5-I5</f>
        <v>95651.827096000081</v>
      </c>
      <c r="K5" s="12" t="str">
        <f xml:space="preserve"> IF(J5&gt;0, "Positive", "Negative")</f>
        <v>Positive</v>
      </c>
    </row>
    <row r="6" spans="1:11">
      <c r="A6" s="3" t="s">
        <v>66</v>
      </c>
      <c r="B6" s="5">
        <v>29389.32</v>
      </c>
      <c r="C6" s="5">
        <v>7925</v>
      </c>
      <c r="D6" s="5">
        <v>90.9</v>
      </c>
      <c r="E6" s="5">
        <v>7.86</v>
      </c>
      <c r="F6" s="12">
        <v>0</v>
      </c>
      <c r="G6" s="12">
        <v>0</v>
      </c>
      <c r="H6" s="5">
        <v>783582</v>
      </c>
      <c r="I6" s="19">
        <f xml:space="preserve"> 147642.16
+ 1.2034 * B6
+ 33.6227 * C6
+ 2893.1764 * D6
- 2862.4094 * E6
+ 11558.4348 * F6
- 244.4477 * G6</f>
        <v>689960.36206399999</v>
      </c>
      <c r="J6" s="12">
        <f>H6-I6</f>
        <v>93621.637936000014</v>
      </c>
      <c r="K6" s="12" t="str">
        <f xml:space="preserve"> IF(J6&gt;0, "Positive", "Negative")</f>
        <v>Positive</v>
      </c>
    </row>
    <row r="7" spans="1:11">
      <c r="A7" s="3" t="s">
        <v>46</v>
      </c>
      <c r="B7" s="5">
        <v>78839.39</v>
      </c>
      <c r="C7" s="5">
        <v>5150</v>
      </c>
      <c r="D7" s="5">
        <v>85.8</v>
      </c>
      <c r="E7" s="5">
        <v>7.57</v>
      </c>
      <c r="F7" s="12">
        <v>0</v>
      </c>
      <c r="G7" s="12">
        <v>0</v>
      </c>
      <c r="H7" s="5">
        <v>735509.4</v>
      </c>
      <c r="I7" s="19">
        <f xml:space="preserve"> 147642.16
+ 1.2034 * B7
+ 33.6227 * C7
+ 2893.1764 * D7
- 2862.4094 * E7
+ 11558.4348 * F7
- 244.4477 * G7</f>
        <v>642240.48288799997</v>
      </c>
      <c r="J7" s="12">
        <f>H7-I7</f>
        <v>93268.917112000054</v>
      </c>
      <c r="K7" s="12" t="str">
        <f xml:space="preserve"> IF(J7&gt;0, "Positive", "Negative")</f>
        <v>Positive</v>
      </c>
    </row>
    <row r="8" spans="1:11">
      <c r="A8" s="3" t="s">
        <v>19</v>
      </c>
      <c r="B8" s="5">
        <v>71838.86</v>
      </c>
      <c r="C8" s="5">
        <v>10979</v>
      </c>
      <c r="D8" s="5">
        <v>88.6</v>
      </c>
      <c r="E8" s="5">
        <v>7.7</v>
      </c>
      <c r="F8" s="12">
        <v>0</v>
      </c>
      <c r="G8" s="12">
        <v>0</v>
      </c>
      <c r="H8" s="5">
        <v>930581.7</v>
      </c>
      <c r="I8" s="19">
        <f xml:space="preserve"> 147642.16
+ 1.2034 * B8
+ 33.6227 * C8
+ 2893.1764 * D8
- 2862.4094 * E8
+ 11558.4348 * F8
- 244.4477 * G8</f>
        <v>837531.54408400005</v>
      </c>
      <c r="J8" s="12">
        <f>H8-I8</f>
        <v>93050.155915999901</v>
      </c>
      <c r="K8" s="12" t="str">
        <f xml:space="preserve"> IF(J8&gt;0, "Positive", "Negative")</f>
        <v>Positive</v>
      </c>
    </row>
    <row r="9" spans="1:11">
      <c r="A9" s="3" t="s">
        <v>42</v>
      </c>
      <c r="B9" s="5">
        <v>72731.14</v>
      </c>
      <c r="C9" s="5">
        <v>4644</v>
      </c>
      <c r="D9" s="5">
        <v>87.1</v>
      </c>
      <c r="E9" s="5">
        <v>2.66</v>
      </c>
      <c r="F9" s="12">
        <v>0</v>
      </c>
      <c r="G9" s="12">
        <v>0</v>
      </c>
      <c r="H9" s="5">
        <v>727241.86</v>
      </c>
      <c r="I9" s="19">
        <f xml:space="preserve"> 147642.16
+ 1.2034 * B9
+ 33.6227 * C9
+ 2893.1764 * D9
- 2862.4094 * E9
+ 11558.4348 * F9
- 244.4477 * G9</f>
        <v>635692.28811199998</v>
      </c>
      <c r="J9" s="12">
        <f>H9-I9</f>
        <v>91549.571888000006</v>
      </c>
      <c r="K9" s="12" t="str">
        <f xml:space="preserve"> IF(J9&gt;0, "Positive", "Negative")</f>
        <v>Positive</v>
      </c>
    </row>
    <row r="10" spans="1:11">
      <c r="A10" s="3" t="s">
        <v>85</v>
      </c>
      <c r="B10" s="5">
        <v>63582.11</v>
      </c>
      <c r="C10" s="5">
        <v>6856</v>
      </c>
      <c r="D10" s="5">
        <v>89.5</v>
      </c>
      <c r="E10" s="5">
        <v>5.48</v>
      </c>
      <c r="F10" s="12">
        <v>1</v>
      </c>
      <c r="G10" s="12">
        <v>0</v>
      </c>
      <c r="H10" s="5">
        <v>799046.94</v>
      </c>
      <c r="I10" s="19">
        <f xml:space="preserve"> 147642.16
+ 1.2034 * B10
+ 33.6227 * C10
+ 2893.1764 * D10
- 2862.4094 * E10
+ 11558.4348 * F10
- 244.4477 * G10</f>
        <v>709485.82146200014</v>
      </c>
      <c r="J10" s="12">
        <f>H10-I10</f>
        <v>89561.118537999806</v>
      </c>
      <c r="K10" s="12" t="str">
        <f xml:space="preserve"> IF(J10&gt;0, "Positive", "Negative")</f>
        <v>Positive</v>
      </c>
    </row>
    <row r="11" spans="1:11">
      <c r="A11" s="3" t="s">
        <v>66</v>
      </c>
      <c r="B11" s="5">
        <v>74881.56</v>
      </c>
      <c r="C11" s="5">
        <v>9999</v>
      </c>
      <c r="D11" s="5">
        <v>89.6</v>
      </c>
      <c r="E11" s="5">
        <v>8.44</v>
      </c>
      <c r="F11" s="12">
        <v>0</v>
      </c>
      <c r="G11" s="12">
        <v>0</v>
      </c>
      <c r="H11" s="5">
        <v>898031.04</v>
      </c>
      <c r="I11" s="19">
        <f xml:space="preserve"> 147642.16
+ 1.2034 * B11
+ 33.6227 * C11
+ 2893.1764 * D11
- 2862.4094 * E11
+ 11558.4348 * F11
- 244.4477 * G11</f>
        <v>809017.87670799997</v>
      </c>
      <c r="J11" s="12">
        <f>H11-I11</f>
        <v>89013.16329200007</v>
      </c>
      <c r="K11" s="12" t="str">
        <f xml:space="preserve"> IF(J11&gt;0, "Positive", "Negative")</f>
        <v>Positive</v>
      </c>
    </row>
    <row r="12" spans="1:11">
      <c r="A12" s="3" t="s">
        <v>94</v>
      </c>
      <c r="B12" s="5">
        <v>56737.3</v>
      </c>
      <c r="C12" s="5">
        <v>8300</v>
      </c>
      <c r="D12" s="5">
        <v>83.2</v>
      </c>
      <c r="E12" s="5">
        <v>3.44</v>
      </c>
      <c r="F12" s="12">
        <v>0</v>
      </c>
      <c r="G12" s="12">
        <v>0</v>
      </c>
      <c r="H12" s="5">
        <v>813316.71</v>
      </c>
      <c r="I12" s="19">
        <f xml:space="preserve"> 147642.16
+ 1.2034 * B12
+ 33.6227 * C12
+ 2893.1764 * D12
- 2862.4094 * E12
+ 11558.4348 * F12
- 244.4477 * G12</f>
        <v>725853.82496400003</v>
      </c>
      <c r="J12" s="12">
        <f>H12-I12</f>
        <v>87462.885035999934</v>
      </c>
      <c r="K12" s="12" t="str">
        <f xml:space="preserve"> IF(J12&gt;0, "Positive", "Negative")</f>
        <v>Positive</v>
      </c>
    </row>
    <row r="13" spans="1:11">
      <c r="A13" s="3" t="s">
        <v>53</v>
      </c>
      <c r="B13" s="5">
        <v>61541.21</v>
      </c>
      <c r="C13" s="5">
        <v>10396</v>
      </c>
      <c r="D13" s="5">
        <v>88.1</v>
      </c>
      <c r="E13" s="5">
        <v>2.34</v>
      </c>
      <c r="F13" s="12">
        <v>1</v>
      </c>
      <c r="G13" s="12">
        <v>1</v>
      </c>
      <c r="H13" s="5">
        <v>914544.17</v>
      </c>
      <c r="I13" s="19">
        <f xml:space="preserve"> 147642.16
+ 1.2034 * B13
+ 33.6227 * C13
+ 2893.1764 * D13
- 2862.4094 * E13
+ 11558.4348 * F13
- 244.4477 * G13</f>
        <v>830747.23125800001</v>
      </c>
      <c r="J13" s="12">
        <f>H13-I13</f>
        <v>83796.938742000028</v>
      </c>
      <c r="K13" s="12" t="str">
        <f xml:space="preserve"> IF(J13&gt;0, "Positive", "Negative")</f>
        <v>Positive</v>
      </c>
    </row>
    <row r="14" spans="1:11">
      <c r="A14" s="3" t="s">
        <v>51</v>
      </c>
      <c r="B14" s="5">
        <v>57360.01</v>
      </c>
      <c r="C14" s="5">
        <v>8434</v>
      </c>
      <c r="D14" s="5">
        <v>84.1</v>
      </c>
      <c r="E14" s="5">
        <v>1.56</v>
      </c>
      <c r="F14" s="12">
        <v>0</v>
      </c>
      <c r="G14" s="12">
        <v>0</v>
      </c>
      <c r="H14" s="5">
        <v>820519.04</v>
      </c>
      <c r="I14" s="19">
        <f xml:space="preserve"> 147642.16
+ 1.2034 * B14
+ 33.6227 * C14
+ 2893.1764 * D14
- 2862.4094 * E14
+ 11558.4348 * F14
- 244.4477 * G14</f>
        <v>739093.82441</v>
      </c>
      <c r="J14" s="12">
        <f>H14-I14</f>
        <v>81425.215590000036</v>
      </c>
      <c r="K14" s="12" t="str">
        <f xml:space="preserve"> IF(J14&gt;0, "Positive", "Negative")</f>
        <v>Positive</v>
      </c>
    </row>
    <row r="15" spans="1:11">
      <c r="A15" s="3" t="s">
        <v>87</v>
      </c>
      <c r="B15" s="5">
        <v>51450.55</v>
      </c>
      <c r="C15" s="5">
        <v>4902</v>
      </c>
      <c r="D15" s="5">
        <v>83.7</v>
      </c>
      <c r="E15" s="5">
        <v>6.92</v>
      </c>
      <c r="F15" s="12">
        <v>0</v>
      </c>
      <c r="G15" s="12">
        <v>1</v>
      </c>
      <c r="H15" s="5">
        <v>677640.65</v>
      </c>
      <c r="I15" s="19">
        <f xml:space="preserve"> 147642.16
+ 1.2034 * B15
+ 33.6227 * C15
+ 2893.1764 * D15
- 2862.4094 * E15
+ 11558.4348 * F15
- 244.4477 * G15</f>
        <v>596482.77120199997</v>
      </c>
      <c r="J15" s="12">
        <f>H15-I15</f>
        <v>81157.878798000049</v>
      </c>
      <c r="K15" s="12" t="str">
        <f xml:space="preserve"> IF(J15&gt;0, "Positive", "Negative")</f>
        <v>Positive</v>
      </c>
    </row>
    <row r="16" spans="1:11">
      <c r="A16" s="3" t="s">
        <v>90</v>
      </c>
      <c r="B16" s="5">
        <v>38297.58</v>
      </c>
      <c r="C16" s="5">
        <v>5893</v>
      </c>
      <c r="D16" s="5">
        <v>77.599999999999994</v>
      </c>
      <c r="E16" s="5">
        <v>2.86</v>
      </c>
      <c r="F16" s="12">
        <v>0</v>
      </c>
      <c r="G16" s="12">
        <v>1</v>
      </c>
      <c r="H16" s="5">
        <v>686737.87</v>
      </c>
      <c r="I16" s="19">
        <f xml:space="preserve"> 147642.16
+ 1.2034 * B16
+ 33.6227 * C16
+ 2893.1764 * D16
- 2862.4094 * E16
+ 11558.4348 * F16
- 244.4477 * G16</f>
        <v>607947.58892799995</v>
      </c>
      <c r="J16" s="12">
        <f>H16-I16</f>
        <v>78790.281072000042</v>
      </c>
      <c r="K16" s="12" t="str">
        <f xml:space="preserve"> IF(J16&gt;0, "Positive", "Negative")</f>
        <v>Positive</v>
      </c>
    </row>
    <row r="17" spans="1:11">
      <c r="A17" s="3" t="s">
        <v>19</v>
      </c>
      <c r="B17" s="5">
        <v>67979.88</v>
      </c>
      <c r="C17" s="5">
        <v>11230</v>
      </c>
      <c r="D17" s="5">
        <v>85.3</v>
      </c>
      <c r="E17" s="5">
        <v>7.16</v>
      </c>
      <c r="F17" s="12">
        <v>0</v>
      </c>
      <c r="G17" s="12">
        <v>0</v>
      </c>
      <c r="H17" s="5">
        <v>910791.94</v>
      </c>
      <c r="I17" s="19">
        <f xml:space="preserve"> 147642.16
+ 1.2034 * B17
+ 33.6227 * C17
+ 2893.1764 * D17
- 2862.4094 * E17
+ 11558.4348 * F17
- 244.4477 * G17</f>
        <v>833325.16420800006</v>
      </c>
      <c r="J17" s="12">
        <f>H17-I17</f>
        <v>77466.775791999884</v>
      </c>
      <c r="K17" s="12" t="str">
        <f xml:space="preserve"> IF(J17&gt;0, "Positive", "Negative")</f>
        <v>Positive</v>
      </c>
    </row>
    <row r="18" spans="1:11">
      <c r="A18" s="3" t="s">
        <v>86</v>
      </c>
      <c r="B18" s="5">
        <v>65272.58</v>
      </c>
      <c r="C18" s="5">
        <v>8165</v>
      </c>
      <c r="D18" s="5">
        <v>87.8</v>
      </c>
      <c r="E18" s="5">
        <v>1.26</v>
      </c>
      <c r="F18" s="12">
        <v>1</v>
      </c>
      <c r="G18" s="12">
        <v>0</v>
      </c>
      <c r="H18" s="5">
        <v>840108.12</v>
      </c>
      <c r="I18" s="19">
        <f xml:space="preserve"> 147642.16
+ 1.2034 * B18
+ 33.6227 * C18
+ 2893.1764 * D18
- 2862.4094 * E18
+ 11558.4348 * F18
- 244.4477 * G18</f>
        <v>762693.21514800005</v>
      </c>
      <c r="J18" s="12">
        <f>H18-I18</f>
        <v>77414.904851999949</v>
      </c>
      <c r="K18" s="12" t="str">
        <f xml:space="preserve"> IF(J18&gt;0, "Positive", "Negative")</f>
        <v>Positive</v>
      </c>
    </row>
    <row r="19" spans="1:11">
      <c r="A19" s="3" t="s">
        <v>96</v>
      </c>
      <c r="B19" s="5">
        <v>55477.61</v>
      </c>
      <c r="C19" s="5">
        <v>5903</v>
      </c>
      <c r="D19" s="5">
        <v>96.2</v>
      </c>
      <c r="E19" s="5">
        <v>1.41</v>
      </c>
      <c r="F19" s="12">
        <v>0</v>
      </c>
      <c r="G19" s="12">
        <v>1</v>
      </c>
      <c r="H19" s="5">
        <v>763162.45</v>
      </c>
      <c r="I19" s="19">
        <f xml:space="preserve"> 147642.16
+ 1.2034 * B19
+ 33.6227 * C19
+ 2893.1764 * D19
- 2862.4094 * E19
+ 11558.4348 * F19
- 244.4477 * G19</f>
        <v>686921.83869999996</v>
      </c>
      <c r="J19" s="12">
        <f>H19-I19</f>
        <v>76240.61129999999</v>
      </c>
      <c r="K19" s="12" t="str">
        <f xml:space="preserve"> IF(J19&gt;0, "Positive", "Negative")</f>
        <v>Positive</v>
      </c>
    </row>
    <row r="20" spans="1:11">
      <c r="A20" s="3" t="s">
        <v>62</v>
      </c>
      <c r="B20" s="5">
        <v>48438.85</v>
      </c>
      <c r="C20" s="5">
        <v>6992</v>
      </c>
      <c r="D20" s="5">
        <v>91</v>
      </c>
      <c r="E20" s="5">
        <v>4.3600000000000003</v>
      </c>
      <c r="F20" s="12">
        <v>1</v>
      </c>
      <c r="G20" s="12">
        <v>1</v>
      </c>
      <c r="H20" s="5">
        <v>778298.88</v>
      </c>
      <c r="I20" s="19">
        <f xml:space="preserve"> 147642.16
+ 1.2034 * B20
+ 33.6227 * C20
+ 2893.1764 * D20
- 2862.4094 * E20
+ 11558.4348 * F20
- 244.4477 * G20</f>
        <v>703136.32500600012</v>
      </c>
      <c r="J20" s="12">
        <f>H20-I20</f>
        <v>75162.554993999889</v>
      </c>
      <c r="K20" s="12" t="str">
        <f xml:space="preserve"> IF(J20&gt;0, "Positive", "Negative")</f>
        <v>Positive</v>
      </c>
    </row>
    <row r="21" spans="1:11">
      <c r="A21" s="3" t="s">
        <v>31</v>
      </c>
      <c r="B21" s="5">
        <v>75269.87</v>
      </c>
      <c r="C21" s="5">
        <v>8838</v>
      </c>
      <c r="D21" s="5">
        <v>83.1</v>
      </c>
      <c r="E21" s="5">
        <v>9.56</v>
      </c>
      <c r="F21" s="12">
        <v>0</v>
      </c>
      <c r="G21" s="12">
        <v>0</v>
      </c>
      <c r="H21" s="5">
        <v>820593.93</v>
      </c>
      <c r="I21" s="19">
        <f xml:space="preserve"> 147642.16
+ 1.2034 * B21
+ 33.6227 * C21
+ 2893.1764 * D21
- 2862.4094 * E21
+ 11558.4348 * F21
- 244.4477 * G21</f>
        <v>748437.66913399997</v>
      </c>
      <c r="J21" s="12">
        <f>H21-I21</f>
        <v>72156.260866000084</v>
      </c>
      <c r="K21" s="12" t="str">
        <f xml:space="preserve"> IF(J21&gt;0, "Positive", "Negative")</f>
        <v>Positive</v>
      </c>
    </row>
    <row r="22" spans="1:11">
      <c r="A22" s="3" t="s">
        <v>71</v>
      </c>
      <c r="B22" s="5">
        <v>61391.8</v>
      </c>
      <c r="C22" s="5">
        <v>5575</v>
      </c>
      <c r="D22" s="5">
        <v>90</v>
      </c>
      <c r="E22" s="5">
        <v>1.8</v>
      </c>
      <c r="F22" s="12">
        <v>0</v>
      </c>
      <c r="G22" s="12">
        <v>0</v>
      </c>
      <c r="H22" s="5">
        <v>735786.64</v>
      </c>
      <c r="I22" s="19">
        <f xml:space="preserve"> 147642.16
+ 1.2034 * B22
+ 33.6227 * C22
+ 2893.1764 * D22
- 2862.4094 * E22
+ 11558.4348 * F22
- 244.4477 * G22</f>
        <v>664201.14370000002</v>
      </c>
      <c r="J22" s="12">
        <f>H22-I22</f>
        <v>71585.496299999999</v>
      </c>
      <c r="K22" s="12" t="str">
        <f xml:space="preserve"> IF(J22&gt;0, "Positive", "Negative")</f>
        <v>Positive</v>
      </c>
    </row>
    <row r="23" spans="1:11">
      <c r="A23" s="3" t="s">
        <v>80</v>
      </c>
      <c r="B23" s="5">
        <v>61650.79</v>
      </c>
      <c r="C23" s="5">
        <v>5321</v>
      </c>
      <c r="D23" s="5">
        <v>89.2</v>
      </c>
      <c r="E23" s="5">
        <v>2.13</v>
      </c>
      <c r="F23" s="12">
        <v>0</v>
      </c>
      <c r="G23" s="12">
        <v>0</v>
      </c>
      <c r="H23" s="5">
        <v>723305.11</v>
      </c>
      <c r="I23" s="19">
        <f xml:space="preserve"> 147642.16
+ 1.2034 * B23
+ 33.6227 * C23
+ 2893.1764 * D23
- 2862.4094 * E23
+ 11558.4348 * F23
- 244.4477 * G23</f>
        <v>652713.510244</v>
      </c>
      <c r="J23" s="12">
        <f>H23-I23</f>
        <v>70591.599755999981</v>
      </c>
      <c r="K23" s="12" t="str">
        <f xml:space="preserve"> IF(J23&gt;0, "Positive", "Negative")</f>
        <v>Positive</v>
      </c>
    </row>
    <row r="24" spans="1:11">
      <c r="A24" s="3" t="s">
        <v>63</v>
      </c>
      <c r="B24" s="5">
        <v>72150.53</v>
      </c>
      <c r="C24" s="5">
        <v>9323</v>
      </c>
      <c r="D24" s="5">
        <v>82.9</v>
      </c>
      <c r="E24" s="5">
        <v>11.37</v>
      </c>
      <c r="F24" s="12">
        <v>0</v>
      </c>
      <c r="G24" s="12">
        <v>0</v>
      </c>
      <c r="H24" s="5">
        <v>825797.91</v>
      </c>
      <c r="I24" s="19">
        <f xml:space="preserve"> 147642.16
+ 1.2034 * B24
+ 33.6227 * C24
+ 2893.1764 * D24
- 2862.4094 * E24
+ 11558.4348 * F24
- 244.4477 * G24</f>
        <v>755231.26858399995</v>
      </c>
      <c r="J24" s="12">
        <f>H24-I24</f>
        <v>70566.641416000086</v>
      </c>
      <c r="K24" s="12" t="str">
        <f xml:space="preserve"> IF(J24&gt;0, "Positive", "Negative")</f>
        <v>Positive</v>
      </c>
    </row>
    <row r="25" spans="1:11">
      <c r="A25" s="3" t="s">
        <v>48</v>
      </c>
      <c r="B25" s="5">
        <v>64294.23</v>
      </c>
      <c r="C25" s="5">
        <v>6992</v>
      </c>
      <c r="D25" s="5">
        <v>94.1</v>
      </c>
      <c r="E25" s="5">
        <v>0.25</v>
      </c>
      <c r="F25" s="12">
        <v>0</v>
      </c>
      <c r="G25" s="12">
        <v>1</v>
      </c>
      <c r="H25" s="5">
        <v>795153.84</v>
      </c>
      <c r="I25" s="19">
        <f xml:space="preserve"> 147642.16
+ 1.2034 * B25
+ 33.6227 * C25
+ 2893.1764 * D25
- 2862.4094 * E25
+ 11558.4348 * F25
- 244.4477 * G25</f>
        <v>731391.60397200007</v>
      </c>
      <c r="J25" s="12">
        <f>H25-I25</f>
        <v>63762.236027999897</v>
      </c>
      <c r="K25" s="12" t="str">
        <f xml:space="preserve"> IF(J25&gt;0, "Positive", "Negative")</f>
        <v>Positive</v>
      </c>
    </row>
    <row r="26" spans="1:11">
      <c r="A26" s="3" t="s">
        <v>32</v>
      </c>
      <c r="B26" s="5">
        <v>68077.539999999994</v>
      </c>
      <c r="C26" s="5">
        <v>3360</v>
      </c>
      <c r="D26" s="5">
        <v>88.2</v>
      </c>
      <c r="E26" s="5">
        <v>1.24</v>
      </c>
      <c r="F26" s="12">
        <v>0</v>
      </c>
      <c r="G26" s="12">
        <v>0</v>
      </c>
      <c r="H26" s="5">
        <v>657429.18000000005</v>
      </c>
      <c r="I26" s="19">
        <f xml:space="preserve"> 147642.16
+ 1.2034 * B26
+ 33.6227 * C26
+ 2893.1764 * D26
- 2862.4094 * E26
+ 11558.4348 * F26
- 244.4477 * G26</f>
        <v>594167.71445999993</v>
      </c>
      <c r="J26" s="12">
        <f>H26-I26</f>
        <v>63261.465540000121</v>
      </c>
      <c r="K26" s="12" t="str">
        <f xml:space="preserve"> IF(J26&gt;0, "Positive", "Negative")</f>
        <v>Positive</v>
      </c>
    </row>
    <row r="27" spans="1:11">
      <c r="A27" s="3" t="s">
        <v>61</v>
      </c>
      <c r="B27" s="5">
        <v>23254.57</v>
      </c>
      <c r="C27" s="5">
        <v>3847</v>
      </c>
      <c r="D27" s="5">
        <v>93</v>
      </c>
      <c r="E27" s="5">
        <v>5.46</v>
      </c>
      <c r="F27" s="12">
        <v>0</v>
      </c>
      <c r="G27" s="12">
        <v>0</v>
      </c>
      <c r="H27" s="5">
        <v>620973.03</v>
      </c>
      <c r="I27" s="19">
        <f xml:space="preserve"> 147642.16
+ 1.2034 * B27
+ 33.6227 * C27
+ 2893.1764 * D27
- 2862.4094 * E27
+ 11558.4348 * F27
- 244.4477 * G27</f>
        <v>558409.886314</v>
      </c>
      <c r="J27" s="12">
        <f>H27-I27</f>
        <v>62563.143686000025</v>
      </c>
      <c r="K27" s="12" t="str">
        <f xml:space="preserve"> IF(J27&gt;0, "Positive", "Negative")</f>
        <v>Positive</v>
      </c>
    </row>
    <row r="28" spans="1:11">
      <c r="A28" s="3" t="s">
        <v>42</v>
      </c>
      <c r="B28" s="5">
        <v>60628.38</v>
      </c>
      <c r="C28" s="5">
        <v>4451</v>
      </c>
      <c r="D28" s="5">
        <v>89.6</v>
      </c>
      <c r="E28" s="5">
        <v>3.17</v>
      </c>
      <c r="F28" s="12">
        <v>0</v>
      </c>
      <c r="G28" s="12">
        <v>0</v>
      </c>
      <c r="H28" s="5">
        <v>682208.01</v>
      </c>
      <c r="I28" s="19">
        <f xml:space="preserve"> 147642.16
+ 1.2034 * B28
+ 33.6227 * C28
+ 2893.1764 * D28
- 2862.4094 * E28
+ 11558.4348 * F28
- 244.4477 * G28</f>
        <v>620411.75783400005</v>
      </c>
      <c r="J28" s="12">
        <f>H28-I28</f>
        <v>61796.252165999962</v>
      </c>
      <c r="K28" s="12" t="str">
        <f xml:space="preserve"> IF(J28&gt;0, "Positive", "Negative")</f>
        <v>Positive</v>
      </c>
    </row>
    <row r="29" spans="1:11">
      <c r="A29" s="3" t="s">
        <v>39</v>
      </c>
      <c r="B29" s="5">
        <v>70937.240000000005</v>
      </c>
      <c r="C29" s="5">
        <v>3595</v>
      </c>
      <c r="D29" s="5">
        <v>88.9</v>
      </c>
      <c r="E29" s="5">
        <v>2.83</v>
      </c>
      <c r="F29" s="12">
        <v>0</v>
      </c>
      <c r="G29" s="12">
        <v>1</v>
      </c>
      <c r="H29" s="5">
        <v>661927.14</v>
      </c>
      <c r="I29" s="19">
        <f xml:space="preserve"> 147642.16
+ 1.2034 * B29
+ 33.6227 * C29
+ 2893.1764 * D29
- 2862.4094 * E29
+ 11558.4348 * F29
- 244.4477 * G29</f>
        <v>602739.95677400008</v>
      </c>
      <c r="J29" s="12">
        <f>H29-I29</f>
        <v>59187.183225999936</v>
      </c>
      <c r="K29" s="12" t="str">
        <f xml:space="preserve"> IF(J29&gt;0, "Positive", "Negative")</f>
        <v>Positive</v>
      </c>
    </row>
    <row r="30" spans="1:11">
      <c r="A30" s="3" t="s">
        <v>40</v>
      </c>
      <c r="B30" s="5">
        <v>70144.78</v>
      </c>
      <c r="C30" s="5">
        <v>6806</v>
      </c>
      <c r="D30" s="5">
        <v>93.1</v>
      </c>
      <c r="E30" s="5">
        <v>0.28000000000000003</v>
      </c>
      <c r="F30" s="12">
        <v>0</v>
      </c>
      <c r="G30" s="12">
        <v>0</v>
      </c>
      <c r="H30" s="5">
        <v>788087.68</v>
      </c>
      <c r="I30" s="19">
        <f xml:space="preserve"> 147642.16
+ 1.2034 * B30
+ 33.6227 * C30
+ 2893.1764 * D30
- 2862.4094 * E30
+ 11558.4348 * F30
- 244.4477 * G30</f>
        <v>729443.73265999998</v>
      </c>
      <c r="J30" s="12">
        <f>H30-I30</f>
        <v>58643.947340000072</v>
      </c>
      <c r="K30" s="12" t="str">
        <f xml:space="preserve"> IF(J30&gt;0, "Positive", "Negative")</f>
        <v>Positive</v>
      </c>
    </row>
    <row r="31" spans="1:11">
      <c r="A31" s="3" t="s">
        <v>17</v>
      </c>
      <c r="B31" s="5">
        <v>68148.52</v>
      </c>
      <c r="C31" s="5">
        <v>8567</v>
      </c>
      <c r="D31" s="5">
        <v>95.6</v>
      </c>
      <c r="E31" s="5">
        <v>0.8</v>
      </c>
      <c r="F31" s="12">
        <v>0</v>
      </c>
      <c r="G31" s="12">
        <v>1</v>
      </c>
      <c r="H31" s="5">
        <v>850164.26</v>
      </c>
      <c r="I31" s="19">
        <f xml:space="preserve"> 147642.16
+ 1.2034 * B31
+ 33.6227 * C31
+ 2893.1764 * D31
- 2862.4094 * E31
+ 11558.4348 * F31
- 244.4477 * G31</f>
        <v>791751.04848799994</v>
      </c>
      <c r="J31" s="12">
        <f>H31-I31</f>
        <v>58413.211512000067</v>
      </c>
      <c r="K31" s="12" t="str">
        <f xml:space="preserve"> IF(J31&gt;0, "Positive", "Negative")</f>
        <v>Positive</v>
      </c>
    </row>
    <row r="32" spans="1:11">
      <c r="A32" s="3" t="s">
        <v>97</v>
      </c>
      <c r="B32" s="5">
        <v>31997.25</v>
      </c>
      <c r="C32" s="5">
        <v>8183</v>
      </c>
      <c r="D32" s="5">
        <v>93</v>
      </c>
      <c r="E32" s="5">
        <v>2.79</v>
      </c>
      <c r="F32" s="12">
        <v>0</v>
      </c>
      <c r="G32" s="12">
        <v>0</v>
      </c>
      <c r="H32" s="5">
        <v>780580.95</v>
      </c>
      <c r="I32" s="19">
        <f xml:space="preserve"> 147642.16
+ 1.2034 * B32
+ 33.6227 * C32
+ 2893.1764 * D32
- 2862.4094 * E32
+ 11558.4348 * F32
- 244.4477 * G32</f>
        <v>722361.48772400001</v>
      </c>
      <c r="J32" s="12">
        <f>H32-I32</f>
        <v>58219.462275999947</v>
      </c>
      <c r="K32" s="12" t="str">
        <f xml:space="preserve"> IF(J32&gt;0, "Positive", "Negative")</f>
        <v>Positive</v>
      </c>
    </row>
    <row r="33" spans="1:11">
      <c r="A33" s="3" t="s">
        <v>61</v>
      </c>
      <c r="B33" s="5">
        <v>56918.16</v>
      </c>
      <c r="C33" s="5">
        <v>7015</v>
      </c>
      <c r="D33" s="5">
        <v>74.2</v>
      </c>
      <c r="E33" s="5">
        <v>0.2</v>
      </c>
      <c r="F33" s="12">
        <v>0</v>
      </c>
      <c r="G33" s="12">
        <v>0</v>
      </c>
      <c r="H33" s="5">
        <v>724216.07</v>
      </c>
      <c r="I33" s="19">
        <f xml:space="preserve"> 147642.16
+ 1.2034 * B33
+ 33.6227 * C33
+ 2893.1764 * D33
- 2862.4094 * E33
+ 11558.4348 * F33
- 244.4477 * G33</f>
        <v>666101.92124400008</v>
      </c>
      <c r="J33" s="12">
        <f>H33-I33</f>
        <v>58114.148755999864</v>
      </c>
      <c r="K33" s="12" t="str">
        <f xml:space="preserve"> IF(J33&gt;0, "Positive", "Negative")</f>
        <v>Positive</v>
      </c>
    </row>
    <row r="34" spans="1:11">
      <c r="A34" s="3" t="s">
        <v>45</v>
      </c>
      <c r="B34" s="5">
        <v>86421.88</v>
      </c>
      <c r="C34" s="5">
        <v>7970</v>
      </c>
      <c r="D34" s="5">
        <v>91.3</v>
      </c>
      <c r="E34" s="5">
        <v>0.8</v>
      </c>
      <c r="F34" s="12">
        <v>0</v>
      </c>
      <c r="G34" s="12">
        <v>0</v>
      </c>
      <c r="H34" s="5">
        <v>838250.32</v>
      </c>
      <c r="I34" s="19">
        <f xml:space="preserve"> 147642.16
+ 1.2034 * B34
+ 33.6227 * C34
+ 2893.1764 * D34
- 2862.4094 * E34
+ 11558.4348 * F34
- 244.4477 * G34</f>
        <v>781472.24719199992</v>
      </c>
      <c r="J34" s="12">
        <f>H34-I34</f>
        <v>56778.072808000026</v>
      </c>
      <c r="K34" s="12" t="str">
        <f xml:space="preserve"> IF(J34&gt;0, "Positive", "Negative")</f>
        <v>Positive</v>
      </c>
    </row>
    <row r="35" spans="1:11">
      <c r="A35" s="3" t="s">
        <v>68</v>
      </c>
      <c r="B35" s="5">
        <v>48031.74</v>
      </c>
      <c r="C35" s="5">
        <v>6516</v>
      </c>
      <c r="D35" s="5">
        <v>99</v>
      </c>
      <c r="E35" s="5">
        <v>0.48</v>
      </c>
      <c r="F35" s="12">
        <v>0</v>
      </c>
      <c r="G35" s="12">
        <v>1</v>
      </c>
      <c r="H35" s="5">
        <v>765906.95</v>
      </c>
      <c r="I35" s="19">
        <f xml:space="preserve"> 147642.16
+ 1.2034 * B35
+ 33.6227 * C35
+ 2893.1764 * D35
- 2862.4094 * E35
+ 11558.4348 * F35
- 244.4477 * G35</f>
        <v>709335.12850400002</v>
      </c>
      <c r="J35" s="12">
        <f>H35-I35</f>
        <v>56571.821495999931</v>
      </c>
      <c r="K35" s="12" t="str">
        <f xml:space="preserve"> IF(J35&gt;0, "Positive", "Negative")</f>
        <v>Positive</v>
      </c>
    </row>
    <row r="36" spans="1:11">
      <c r="A36" s="3" t="s">
        <v>34</v>
      </c>
      <c r="B36" s="5">
        <v>65312.49</v>
      </c>
      <c r="C36" s="5">
        <v>7189</v>
      </c>
      <c r="D36" s="5">
        <v>93.7</v>
      </c>
      <c r="E36" s="5">
        <v>7.16</v>
      </c>
      <c r="F36" s="12">
        <v>0</v>
      </c>
      <c r="G36" s="12">
        <v>0</v>
      </c>
      <c r="H36" s="5">
        <v>773815.14</v>
      </c>
      <c r="I36" s="19">
        <f xml:space="preserve"> 147642.16
+ 1.2034 * B36
+ 33.6227 * C36
+ 2893.1764 * D36
- 2862.4094 * E36
+ 11558.4348 * F36
- 244.4477 * G36</f>
        <v>718548.57814200001</v>
      </c>
      <c r="J36" s="12">
        <f>H36-I36</f>
        <v>55266.561858000001</v>
      </c>
      <c r="K36" s="12" t="str">
        <f xml:space="preserve"> IF(J36&gt;0, "Positive", "Negative")</f>
        <v>Positive</v>
      </c>
    </row>
    <row r="37" spans="1:11">
      <c r="A37" s="3" t="s">
        <v>53</v>
      </c>
      <c r="B37" s="5">
        <v>56517.9</v>
      </c>
      <c r="C37" s="5">
        <v>9574</v>
      </c>
      <c r="D37" s="5">
        <v>88.2</v>
      </c>
      <c r="E37" s="5">
        <v>5.37</v>
      </c>
      <c r="F37" s="12">
        <v>1</v>
      </c>
      <c r="G37" s="12">
        <v>1</v>
      </c>
      <c r="H37" s="5">
        <v>842157.92</v>
      </c>
      <c r="I37" s="19">
        <f xml:space="preserve"> 147642.16
+ 1.2034 * B37
+ 33.6227 * C37
+ 2893.1764 * D37
- 2862.4094 * E37
+ 11558.4348 * F37
- 244.4477 * G37</f>
        <v>788680.53776200011</v>
      </c>
      <c r="J37" s="12">
        <f>H37-I37</f>
        <v>53477.382237999933</v>
      </c>
      <c r="K37" s="12" t="str">
        <f xml:space="preserve"> IF(J37&gt;0, "Positive", "Negative")</f>
        <v>Positive</v>
      </c>
    </row>
    <row r="38" spans="1:11">
      <c r="A38" s="3" t="s">
        <v>26</v>
      </c>
      <c r="B38" s="5">
        <v>52715.1</v>
      </c>
      <c r="C38" s="5">
        <v>7223</v>
      </c>
      <c r="D38" s="5">
        <v>84.2</v>
      </c>
      <c r="E38" s="5">
        <v>16.149999999999999</v>
      </c>
      <c r="F38" s="12">
        <v>0</v>
      </c>
      <c r="G38" s="12">
        <v>0</v>
      </c>
      <c r="H38" s="5">
        <v>701641.97</v>
      </c>
      <c r="I38" s="19">
        <f xml:space="preserve"> 147642.16
+ 1.2034 * B38
+ 33.6227 * C38
+ 2893.1764 * D38
- 2862.4094 * E38
+ 11558.4348 * F38
- 244.4477 * G38</f>
        <v>651313.81451000005</v>
      </c>
      <c r="J38" s="12">
        <f>H38-I38</f>
        <v>50328.155489999917</v>
      </c>
      <c r="K38" s="12" t="str">
        <f xml:space="preserve"> IF(J38&gt;0, "Positive", "Negative")</f>
        <v>Positive</v>
      </c>
    </row>
    <row r="39" spans="1:11">
      <c r="A39" s="3" t="s">
        <v>45</v>
      </c>
      <c r="B39" s="5">
        <v>67439.3</v>
      </c>
      <c r="C39" s="5">
        <v>6477</v>
      </c>
      <c r="D39" s="5">
        <v>90.9</v>
      </c>
      <c r="E39" s="5">
        <v>1.64</v>
      </c>
      <c r="F39" s="12">
        <v>0</v>
      </c>
      <c r="G39" s="12">
        <v>0</v>
      </c>
      <c r="H39" s="5">
        <v>753473.55</v>
      </c>
      <c r="I39" s="19">
        <f xml:space="preserve"> 147642.16
+ 1.2034 * B39
+ 33.6227 * C39
+ 2893.1764 * D39
- 2862.4094 * E39
+ 11558.4348 * F39
- 244.4477 * G39</f>
        <v>704868.22486399999</v>
      </c>
      <c r="J39" s="12">
        <f>H39-I39</f>
        <v>48605.325136000058</v>
      </c>
      <c r="K39" s="12" t="str">
        <f xml:space="preserve"> IF(J39&gt;0, "Positive", "Negative")</f>
        <v>Positive</v>
      </c>
    </row>
    <row r="40" spans="1:11">
      <c r="A40" s="3" t="s">
        <v>37</v>
      </c>
      <c r="B40" s="5">
        <v>74907.98</v>
      </c>
      <c r="C40" s="5">
        <v>5306</v>
      </c>
      <c r="D40" s="5">
        <v>95.6</v>
      </c>
      <c r="E40" s="5">
        <v>1.02</v>
      </c>
      <c r="F40" s="12">
        <v>1</v>
      </c>
      <c r="G40" s="12">
        <v>1</v>
      </c>
      <c r="H40" s="5">
        <v>749559.71</v>
      </c>
      <c r="I40" s="19">
        <f xml:space="preserve"> 147642.16
+ 1.2034 * B40
+ 33.6227 * C40
+ 2893.1764 * D40
- 2862.4094 * E40
+ 11558.4348 * F40
- 244.4477 * G40</f>
        <v>701170.46268400014</v>
      </c>
      <c r="J40" s="12">
        <f>H40-I40</f>
        <v>48389.247315999819</v>
      </c>
      <c r="K40" s="12" t="str">
        <f xml:space="preserve"> IF(J40&gt;0, "Positive", "Negative")</f>
        <v>Positive</v>
      </c>
    </row>
    <row r="41" spans="1:11">
      <c r="A41" s="3" t="s">
        <v>73</v>
      </c>
      <c r="B41" s="5">
        <v>54300.87</v>
      </c>
      <c r="C41" s="5">
        <v>7875</v>
      </c>
      <c r="D41" s="5">
        <v>94.1</v>
      </c>
      <c r="E41" s="5">
        <v>0.95</v>
      </c>
      <c r="F41" s="12">
        <v>0</v>
      </c>
      <c r="G41" s="12">
        <v>0</v>
      </c>
      <c r="H41" s="5">
        <v>795464.47</v>
      </c>
      <c r="I41" s="19">
        <f xml:space="preserve"> 147642.16
+ 1.2034 * B41
+ 33.6227 * C41
+ 2893.1764 * D41
- 2862.4094 * E41
+ 11558.4348 * F41
- 244.4477 * G41</f>
        <v>747295.19976799993</v>
      </c>
      <c r="J41" s="12">
        <f>H41-I41</f>
        <v>48169.270232000039</v>
      </c>
      <c r="K41" s="12" t="str">
        <f xml:space="preserve"> IF(J41&gt;0, "Positive", "Negative")</f>
        <v>Positive</v>
      </c>
    </row>
    <row r="42" spans="1:11">
      <c r="A42" s="3" t="s">
        <v>76</v>
      </c>
      <c r="B42" s="5">
        <v>58785.33</v>
      </c>
      <c r="C42" s="5">
        <v>4467</v>
      </c>
      <c r="D42" s="5">
        <v>90.7</v>
      </c>
      <c r="E42" s="5">
        <v>1.92</v>
      </c>
      <c r="F42" s="12">
        <v>0</v>
      </c>
      <c r="G42" s="12">
        <v>0</v>
      </c>
      <c r="H42" s="5">
        <v>673348.56</v>
      </c>
      <c r="I42" s="19">
        <f xml:space="preserve"> 147642.16
+ 1.2034 * B42
+ 33.6227 * C42
+ 2893.1764 * D42
- 2862.4094 * E42
+ 11558.4348 * F42
- 244.4477 * G42</f>
        <v>625492.30045400001</v>
      </c>
      <c r="J42" s="12">
        <f>H42-I42</f>
        <v>47856.259546000045</v>
      </c>
      <c r="K42" s="12" t="str">
        <f xml:space="preserve"> IF(J42&gt;0, "Positive", "Negative")</f>
        <v>Positive</v>
      </c>
    </row>
    <row r="43" spans="1:11">
      <c r="A43" s="3" t="s">
        <v>46</v>
      </c>
      <c r="B43" s="5">
        <v>61132.07</v>
      </c>
      <c r="C43" s="5">
        <v>6394</v>
      </c>
      <c r="D43" s="5">
        <v>91</v>
      </c>
      <c r="E43" s="5">
        <v>19.600000000000001</v>
      </c>
      <c r="F43" s="12">
        <v>0</v>
      </c>
      <c r="G43" s="12">
        <v>0</v>
      </c>
      <c r="H43" s="5">
        <v>691113.62</v>
      </c>
      <c r="I43" s="19">
        <f xml:space="preserve"> 147642.16
+ 1.2034 * B43
+ 33.6227 * C43
+ 2893.1764 * D43
- 2862.4094 * E43
+ 11558.4348 * F43
- 244.4477 * G43</f>
        <v>643367.86499800009</v>
      </c>
      <c r="J43" s="12">
        <f>H43-I43</f>
        <v>47745.755001999903</v>
      </c>
      <c r="K43" s="12" t="str">
        <f xml:space="preserve"> IF(J43&gt;0, "Positive", "Negative")</f>
        <v>Positive</v>
      </c>
    </row>
    <row r="44" spans="1:11">
      <c r="A44" s="3" t="s">
        <v>69</v>
      </c>
      <c r="B44" s="5">
        <v>71641.899999999994</v>
      </c>
      <c r="C44" s="5">
        <v>3506</v>
      </c>
      <c r="D44" s="5">
        <v>86.4</v>
      </c>
      <c r="E44" s="5">
        <v>7.77</v>
      </c>
      <c r="F44" s="12">
        <v>0</v>
      </c>
      <c r="G44" s="12">
        <v>1</v>
      </c>
      <c r="H44" s="5">
        <v>625993.82999999996</v>
      </c>
      <c r="I44" s="19">
        <f xml:space="preserve"> 147642.16
+ 1.2034 * B44
+ 33.6227 * C44
+ 2893.1764 * D44
- 2862.4094 * E44
+ 11558.4348 * F44
- 244.4477 * G44</f>
        <v>579222.28088199999</v>
      </c>
      <c r="J44" s="12">
        <f>H44-I44</f>
        <v>46771.549117999966</v>
      </c>
      <c r="K44" s="12" t="str">
        <f xml:space="preserve"> IF(J44&gt;0, "Positive", "Negative")</f>
        <v>Positive</v>
      </c>
    </row>
    <row r="45" spans="1:11">
      <c r="A45" s="3" t="s">
        <v>82</v>
      </c>
      <c r="B45" s="5">
        <v>69900.12</v>
      </c>
      <c r="C45" s="5">
        <v>8055</v>
      </c>
      <c r="D45" s="5">
        <v>85.6</v>
      </c>
      <c r="E45" s="5">
        <v>10.68</v>
      </c>
      <c r="F45" s="12">
        <v>1</v>
      </c>
      <c r="G45" s="12">
        <v>0</v>
      </c>
      <c r="H45" s="5">
        <v>776992.93</v>
      </c>
      <c r="I45" s="19">
        <f xml:space="preserve"> 147642.16
+ 1.2034 * B45
+ 33.6227 * C45
+ 2893.1764 * D45
- 2862.4094 * E45
+ 11558.4348 * F45
- 244.4477 * G45</f>
        <v>731234.61515600001</v>
      </c>
      <c r="J45" s="12">
        <f>H45-I45</f>
        <v>45758.314844000037</v>
      </c>
      <c r="K45" s="12" t="str">
        <f xml:space="preserve"> IF(J45&gt;0, "Positive", "Negative")</f>
        <v>Positive</v>
      </c>
    </row>
    <row r="46" spans="1:11">
      <c r="A46" s="3" t="s">
        <v>87</v>
      </c>
      <c r="B46" s="5">
        <v>58688.26</v>
      </c>
      <c r="C46" s="5">
        <v>4022</v>
      </c>
      <c r="D46" s="5">
        <v>93.8</v>
      </c>
      <c r="E46" s="5">
        <v>11.78</v>
      </c>
      <c r="F46" s="12">
        <v>0</v>
      </c>
      <c r="G46" s="12">
        <v>1</v>
      </c>
      <c r="H46" s="5">
        <v>636613.23</v>
      </c>
      <c r="I46" s="19">
        <f xml:space="preserve"> 147642.16
+ 1.2034 * B46
+ 33.6227 * C46
+ 2893.1764 * D46
- 2862.4094 * E46
+ 11558.4348 * F46
- 244.4477 * G46</f>
        <v>590914.42737199995</v>
      </c>
      <c r="J46" s="12">
        <f>H46-I46</f>
        <v>45698.802628000034</v>
      </c>
      <c r="K46" s="12" t="str">
        <f xml:space="preserve"> IF(J46&gt;0, "Positive", "Negative")</f>
        <v>Positive</v>
      </c>
    </row>
    <row r="47" spans="1:11">
      <c r="A47" s="3" t="s">
        <v>86</v>
      </c>
      <c r="B47" s="5">
        <v>38397.82</v>
      </c>
      <c r="C47" s="5">
        <v>7836</v>
      </c>
      <c r="D47" s="5">
        <v>92.2</v>
      </c>
      <c r="E47" s="5">
        <v>1.82</v>
      </c>
      <c r="F47" s="12">
        <v>1</v>
      </c>
      <c r="G47" s="12">
        <v>0</v>
      </c>
      <c r="H47" s="5">
        <v>776110.32</v>
      </c>
      <c r="I47" s="19">
        <f xml:space="preserve"> 147642.16
+ 1.2034 * B47
+ 33.6227 * C47
+ 2893.1764 * D47
- 2862.4094 * E47
+ 11558.4348 * F47
- 244.4477 * G47</f>
        <v>730417.28756000008</v>
      </c>
      <c r="J47" s="12">
        <f>H47-I47</f>
        <v>45693.032439999864</v>
      </c>
      <c r="K47" s="12" t="str">
        <f xml:space="preserve"> IF(J47&gt;0, "Positive", "Negative")</f>
        <v>Positive</v>
      </c>
    </row>
    <row r="48" spans="1:11">
      <c r="A48" s="3" t="s">
        <v>57</v>
      </c>
      <c r="B48" s="5">
        <v>44034.6</v>
      </c>
      <c r="C48" s="5">
        <v>5645</v>
      </c>
      <c r="D48" s="5">
        <v>88.5</v>
      </c>
      <c r="E48" s="5">
        <v>3.07</v>
      </c>
      <c r="F48" s="12">
        <v>0</v>
      </c>
      <c r="G48" s="12">
        <v>1</v>
      </c>
      <c r="H48" s="5">
        <v>682639.28</v>
      </c>
      <c r="I48" s="19">
        <f xml:space="preserve"> 147642.16
+ 1.2034 * B48
+ 33.6227 * C48
+ 2893.1764 * D48
- 2862.4094 * E48
+ 11558.4348 * F48
- 244.4477 * G48</f>
        <v>637447.60598200001</v>
      </c>
      <c r="J48" s="12">
        <f>H48-I48</f>
        <v>45191.67401800002</v>
      </c>
      <c r="K48" s="12" t="str">
        <f xml:space="preserve"> IF(J48&gt;0, "Positive", "Negative")</f>
        <v>Positive</v>
      </c>
    </row>
    <row r="49" spans="1:11">
      <c r="A49" s="3" t="s">
        <v>50</v>
      </c>
      <c r="B49" s="5">
        <v>80176.34</v>
      </c>
      <c r="C49" s="5">
        <v>9489</v>
      </c>
      <c r="D49" s="5">
        <v>94.3</v>
      </c>
      <c r="E49" s="5">
        <v>2.67</v>
      </c>
      <c r="F49" s="12">
        <v>0</v>
      </c>
      <c r="G49" s="12">
        <v>0</v>
      </c>
      <c r="H49" s="5">
        <v>873380.02</v>
      </c>
      <c r="I49" s="19">
        <f xml:space="preserve"> 147642.16
+ 1.2034 * B49
+ 33.6227 * C49
+ 2893.1764 * D49
- 2862.4094 * E49
+ 11558.4348 * F49
- 244.4477 * G49</f>
        <v>828356.06927800004</v>
      </c>
      <c r="J49" s="12">
        <f>H49-I49</f>
        <v>45023.95072199998</v>
      </c>
      <c r="K49" s="12" t="str">
        <f xml:space="preserve"> IF(J49&gt;0, "Positive", "Negative")</f>
        <v>Positive</v>
      </c>
    </row>
    <row r="50" spans="1:11">
      <c r="A50" s="3" t="s">
        <v>44</v>
      </c>
      <c r="B50" s="5">
        <v>50517.94</v>
      </c>
      <c r="C50" s="5">
        <v>7024</v>
      </c>
      <c r="D50" s="5">
        <v>79.2</v>
      </c>
      <c r="E50" s="5">
        <v>6.61</v>
      </c>
      <c r="F50" s="12">
        <v>1</v>
      </c>
      <c r="G50" s="12">
        <v>0</v>
      </c>
      <c r="H50" s="5">
        <v>711213.46</v>
      </c>
      <c r="I50" s="19">
        <f xml:space="preserve"> 147642.16
+ 1.2034 * B50
+ 33.6227 * C50
+ 2893.1764 * D50
- 2862.4094 * E50
+ 11558.4348 * F50
- 244.4477 * G50</f>
        <v>666378.77334199997</v>
      </c>
      <c r="J50" s="12">
        <f>H50-I50</f>
        <v>44834.686657999991</v>
      </c>
      <c r="K50" s="12" t="str">
        <f xml:space="preserve"> IF(J50&gt;0, "Positive", "Negative")</f>
        <v>Positive</v>
      </c>
    </row>
    <row r="51" spans="1:11">
      <c r="A51" s="3" t="s">
        <v>35</v>
      </c>
      <c r="B51" s="5">
        <v>99874.01</v>
      </c>
      <c r="C51" s="5">
        <v>5887</v>
      </c>
      <c r="D51" s="5">
        <v>88.7</v>
      </c>
      <c r="E51" s="5">
        <v>6.18</v>
      </c>
      <c r="F51" s="12">
        <v>0</v>
      </c>
      <c r="G51" s="12">
        <v>1</v>
      </c>
      <c r="H51" s="5">
        <v>746677.75</v>
      </c>
      <c r="I51" s="19">
        <f xml:space="preserve"> 147642.16
+ 1.2034 * B51
+ 33.6227 * C51
+ 2893.1764 * D51
- 2862.4094 * E51
+ 11558.4348 * F51
- 244.4477 * G51</f>
        <v>704457.98742200003</v>
      </c>
      <c r="J51" s="12">
        <f>H51-I51</f>
        <v>42219.762577999965</v>
      </c>
      <c r="K51" s="12" t="str">
        <f xml:space="preserve"> IF(J51&gt;0, "Positive", "Negative")</f>
        <v>Positive</v>
      </c>
    </row>
    <row r="52" spans="1:11">
      <c r="A52" s="3" t="s">
        <v>49</v>
      </c>
      <c r="B52" s="5">
        <v>75265.02</v>
      </c>
      <c r="C52" s="5">
        <v>6975</v>
      </c>
      <c r="D52" s="5">
        <v>73.8</v>
      </c>
      <c r="E52" s="5">
        <v>6.35</v>
      </c>
      <c r="F52" s="12">
        <v>0</v>
      </c>
      <c r="G52" s="12">
        <v>0</v>
      </c>
      <c r="H52" s="5">
        <v>709478.39</v>
      </c>
      <c r="I52" s="19">
        <f xml:space="preserve"> 147642.16
+ 1.2034 * B52
+ 33.6227 * C52
+ 2893.1764 * D52
- 2862.4094 * E52
+ 11558.4348 * F52
- 244.4477 * G52</f>
        <v>668074.53619799996</v>
      </c>
      <c r="J52" s="12">
        <f>H52-I52</f>
        <v>41403.853802000056</v>
      </c>
      <c r="K52" s="12" t="str">
        <f xml:space="preserve"> IF(J52&gt;0, "Positive", "Negative")</f>
        <v>Positive</v>
      </c>
    </row>
    <row r="53" spans="1:11">
      <c r="A53" s="3" t="s">
        <v>35</v>
      </c>
      <c r="B53" s="5">
        <v>81195.5</v>
      </c>
      <c r="C53" s="5">
        <v>5516</v>
      </c>
      <c r="D53" s="5">
        <v>88</v>
      </c>
      <c r="E53" s="5">
        <v>1.76</v>
      </c>
      <c r="F53" s="12">
        <v>0</v>
      </c>
      <c r="G53" s="12">
        <v>1</v>
      </c>
      <c r="H53" s="5">
        <v>720852.5</v>
      </c>
      <c r="I53" s="19">
        <f xml:space="preserve"> 147642.16
+ 1.2034 * B53
+ 33.6227 * C53
+ 2893.1764 * D53
- 2862.4094 * E53
+ 11558.4348 * F53
- 244.4477 * G53</f>
        <v>680132.87285599986</v>
      </c>
      <c r="J53" s="12">
        <f>H53-I53</f>
        <v>40719.627144000144</v>
      </c>
      <c r="K53" s="12" t="str">
        <f xml:space="preserve"> IF(J53&gt;0, "Positive", "Negative")</f>
        <v>Positive</v>
      </c>
    </row>
    <row r="54" spans="1:11">
      <c r="A54" s="3" t="s">
        <v>57</v>
      </c>
      <c r="B54" s="5">
        <v>50198.12</v>
      </c>
      <c r="C54" s="5">
        <v>6089</v>
      </c>
      <c r="D54" s="5">
        <v>94</v>
      </c>
      <c r="E54" s="5">
        <v>9.6999999999999993</v>
      </c>
      <c r="F54" s="12">
        <v>0</v>
      </c>
      <c r="G54" s="12">
        <v>1</v>
      </c>
      <c r="H54" s="5">
        <v>695098.51</v>
      </c>
      <c r="I54" s="19">
        <f xml:space="preserve"> 147642.16
+ 1.2034 * B54
+ 33.6227 * C54
+ 2893.1764 * D54
- 2862.4094 * E54
+ 11558.4348 * F54
- 244.4477 * G54</f>
        <v>656727.96062799997</v>
      </c>
      <c r="J54" s="12">
        <f>H54-I54</f>
        <v>38370.549372000038</v>
      </c>
      <c r="K54" s="12" t="str">
        <f xml:space="preserve"> IF(J54&gt;0, "Positive", "Negative")</f>
        <v>Positive</v>
      </c>
    </row>
    <row r="55" spans="1:11">
      <c r="A55" s="3" t="s">
        <v>75</v>
      </c>
      <c r="B55" s="5">
        <v>41819.449999999997</v>
      </c>
      <c r="C55" s="5">
        <v>9412</v>
      </c>
      <c r="D55" s="5">
        <v>91</v>
      </c>
      <c r="E55" s="5">
        <v>3.67</v>
      </c>
      <c r="F55" s="12">
        <v>0</v>
      </c>
      <c r="G55" s="12">
        <v>0</v>
      </c>
      <c r="H55" s="5">
        <v>804975.5</v>
      </c>
      <c r="I55" s="19">
        <f xml:space="preserve"> 147642.16
+ 1.2034 * B55
+ 33.6227 * C55
+ 2893.1764 * D55
- 2862.4094 * E55
+ 11558.4348 * F55
- 244.4477 * G55</f>
        <v>767198.54843199998</v>
      </c>
      <c r="J55" s="12">
        <f>H55-I55</f>
        <v>37776.951568000019</v>
      </c>
      <c r="K55" s="12" t="str">
        <f xml:space="preserve"> IF(J55&gt;0, "Positive", "Negative")</f>
        <v>Positive</v>
      </c>
    </row>
    <row r="56" spans="1:11">
      <c r="A56" s="3" t="s">
        <v>66</v>
      </c>
      <c r="B56" s="5">
        <v>40535.089999999997</v>
      </c>
      <c r="C56" s="5">
        <v>8870</v>
      </c>
      <c r="D56" s="5">
        <v>86.6</v>
      </c>
      <c r="E56" s="5">
        <v>0.3</v>
      </c>
      <c r="F56" s="12">
        <v>0</v>
      </c>
      <c r="G56" s="12">
        <v>0</v>
      </c>
      <c r="H56" s="5">
        <v>781955.52</v>
      </c>
      <c r="I56" s="19">
        <f xml:space="preserve"> 147642.16
+ 1.2034 * B56
+ 33.6227 * C56
+ 2893.1764 * D56
- 2862.4094 * E56
+ 11558.4348 * F56
- 244.4477 * G56</f>
        <v>744345.78972599993</v>
      </c>
      <c r="J56" s="12">
        <f>H56-I56</f>
        <v>37609.730274000089</v>
      </c>
      <c r="K56" s="12" t="str">
        <f xml:space="preserve"> IF(J56&gt;0, "Positive", "Negative")</f>
        <v>Positive</v>
      </c>
    </row>
    <row r="57" spans="1:11">
      <c r="A57" s="3" t="s">
        <v>50</v>
      </c>
      <c r="B57" s="5">
        <v>61426.04</v>
      </c>
      <c r="C57" s="5">
        <v>8966</v>
      </c>
      <c r="D57" s="5">
        <v>76.400000000000006</v>
      </c>
      <c r="E57" s="5">
        <v>1.05</v>
      </c>
      <c r="F57" s="12">
        <v>0</v>
      </c>
      <c r="G57" s="12">
        <v>0</v>
      </c>
      <c r="H57" s="5">
        <v>778397.97</v>
      </c>
      <c r="I57" s="19">
        <f xml:space="preserve"> 147642.16
+ 1.2034 * B57
+ 33.6227 * C57
+ 2893.1764 * D57
- 2862.4094 * E57
+ 11558.4348 * F57
- 244.4477 * G57</f>
        <v>741056.53182600008</v>
      </c>
      <c r="J57" s="12">
        <f>H57-I57</f>
        <v>37341.438173999893</v>
      </c>
      <c r="K57" s="12" t="str">
        <f xml:space="preserve"> IF(J57&gt;0, "Positive", "Negative")</f>
        <v>Positive</v>
      </c>
    </row>
    <row r="58" spans="1:11">
      <c r="A58" s="3" t="s">
        <v>47</v>
      </c>
      <c r="B58" s="5">
        <v>53084.76</v>
      </c>
      <c r="C58" s="5">
        <v>3642</v>
      </c>
      <c r="D58" s="5">
        <v>91.4</v>
      </c>
      <c r="E58" s="5">
        <v>0.2</v>
      </c>
      <c r="F58" s="12">
        <v>0</v>
      </c>
      <c r="G58" s="12">
        <v>0</v>
      </c>
      <c r="H58" s="5">
        <v>635181.35</v>
      </c>
      <c r="I58" s="19">
        <f xml:space="preserve"> 147642.16
+ 1.2034 * B58
+ 33.6227 * C58
+ 2893.1764 * D58
- 2862.4094 * E58
+ 11558.4348 * F58
- 244.4477 * G58</f>
        <v>597842.07466400007</v>
      </c>
      <c r="J58" s="12">
        <f>H58-I58</f>
        <v>37339.275335999904</v>
      </c>
      <c r="K58" s="12" t="str">
        <f xml:space="preserve"> IF(J58&gt;0, "Positive", "Negative")</f>
        <v>Positive</v>
      </c>
    </row>
    <row r="59" spans="1:11">
      <c r="A59" s="3" t="s">
        <v>56</v>
      </c>
      <c r="B59" s="5">
        <v>69779</v>
      </c>
      <c r="C59" s="5">
        <v>6544</v>
      </c>
      <c r="D59" s="5">
        <v>90.2</v>
      </c>
      <c r="E59" s="5">
        <v>0.85</v>
      </c>
      <c r="F59" s="12">
        <v>1</v>
      </c>
      <c r="G59" s="12">
        <v>0</v>
      </c>
      <c r="H59" s="5">
        <v>758827.64</v>
      </c>
      <c r="I59" s="19">
        <f xml:space="preserve"> 147642.16
+ 1.2034 * B59
+ 33.6227 * C59
+ 2893.1764 * D59
- 2862.4094 * E59
+ 11558.4348 * F59
- 244.4477 * G59</f>
        <v>721731.05549000006</v>
      </c>
      <c r="J59" s="12">
        <f>H59-I59</f>
        <v>37096.584509999957</v>
      </c>
      <c r="K59" s="12" t="str">
        <f xml:space="preserve"> IF(J59&gt;0, "Positive", "Negative")</f>
        <v>Positive</v>
      </c>
    </row>
    <row r="60" spans="1:11">
      <c r="A60" s="3" t="s">
        <v>64</v>
      </c>
      <c r="B60" s="5">
        <v>50825.08</v>
      </c>
      <c r="C60" s="5">
        <v>8949</v>
      </c>
      <c r="D60" s="5">
        <v>84.7</v>
      </c>
      <c r="E60" s="5">
        <v>7.73</v>
      </c>
      <c r="F60" s="12">
        <v>0</v>
      </c>
      <c r="G60" s="12">
        <v>0</v>
      </c>
      <c r="H60" s="5">
        <v>769702.76</v>
      </c>
      <c r="I60" s="19">
        <f xml:space="preserve"> 147642.16
+ 1.2034 * B60
+ 33.6227 * C60
+ 2893.1764 * D60
- 2862.4094 * E60
+ 11558.4348 * F60
- 244.4477 * G60</f>
        <v>732620.21999000001</v>
      </c>
      <c r="J60" s="12">
        <f>H60-I60</f>
        <v>37082.540009999997</v>
      </c>
      <c r="K60" s="12" t="str">
        <f xml:space="preserve"> IF(J60&gt;0, "Positive", "Negative")</f>
        <v>Positive</v>
      </c>
    </row>
    <row r="61" spans="1:11">
      <c r="A61" s="3" t="s">
        <v>80</v>
      </c>
      <c r="B61" s="5">
        <v>47241.919999999998</v>
      </c>
      <c r="C61" s="5">
        <v>4264</v>
      </c>
      <c r="D61" s="5">
        <v>95.3</v>
      </c>
      <c r="E61" s="5">
        <v>0.85</v>
      </c>
      <c r="F61" s="12">
        <v>0</v>
      </c>
      <c r="G61" s="12">
        <v>0</v>
      </c>
      <c r="H61" s="5">
        <v>658072.14</v>
      </c>
      <c r="I61" s="19">
        <f xml:space="preserve"> 147642.16
+ 1.2034 * B61
+ 33.6227 * C61
+ 2893.1764 * D61
- 2862.4094 * E61
+ 11558.4348 * F61
- 244.4477 * G61</f>
        <v>621146.94225800002</v>
      </c>
      <c r="J61" s="12">
        <f>H61-I61</f>
        <v>36925.197741999989</v>
      </c>
      <c r="K61" s="12" t="str">
        <f xml:space="preserve"> IF(J61&gt;0, "Positive", "Negative")</f>
        <v>Positive</v>
      </c>
    </row>
    <row r="62" spans="1:11">
      <c r="A62" s="3" t="s">
        <v>89</v>
      </c>
      <c r="B62" s="5">
        <v>23914.97</v>
      </c>
      <c r="C62" s="5">
        <v>8018</v>
      </c>
      <c r="D62" s="5">
        <v>89</v>
      </c>
      <c r="E62" s="5">
        <v>0.2</v>
      </c>
      <c r="F62" s="12">
        <v>0</v>
      </c>
      <c r="G62" s="12">
        <v>0</v>
      </c>
      <c r="H62" s="5">
        <v>739374.56</v>
      </c>
      <c r="I62" s="19">
        <f xml:space="preserve"> 147642.16
+ 1.2034 * B62
+ 33.6227 * C62
+ 2893.1764 * D62
- 2862.4094 * E62
+ 11558.4348 * F62
- 244.4477 * G62</f>
        <v>702928.46121800004</v>
      </c>
      <c r="J62" s="12">
        <f>H62-I62</f>
        <v>36446.098782000015</v>
      </c>
      <c r="K62" s="12" t="str">
        <f xml:space="preserve"> IF(J62&gt;0, "Positive", "Negative")</f>
        <v>Positive</v>
      </c>
    </row>
    <row r="63" spans="1:11">
      <c r="A63" s="3" t="s">
        <v>57</v>
      </c>
      <c r="B63" s="5">
        <v>51430.31</v>
      </c>
      <c r="C63" s="5">
        <v>6427</v>
      </c>
      <c r="D63" s="5">
        <v>88.8</v>
      </c>
      <c r="E63" s="5">
        <v>0.77</v>
      </c>
      <c r="F63" s="12">
        <v>0</v>
      </c>
      <c r="G63" s="12">
        <v>1</v>
      </c>
      <c r="H63" s="5">
        <v>715890.53</v>
      </c>
      <c r="I63" s="19">
        <f xml:space="preserve"> 147642.16
+ 1.2034 * B63
+ 33.6227 * C63
+ 2893.1764 * D63
- 2862.4094 * E63
+ 11558.4348 * F63
- 244.4477 * G63</f>
        <v>680092.049336</v>
      </c>
      <c r="J63" s="12">
        <f>H63-I63</f>
        <v>35798.480664000032</v>
      </c>
      <c r="K63" s="12" t="str">
        <f xml:space="preserve"> IF(J63&gt;0, "Positive", "Negative")</f>
        <v>Positive</v>
      </c>
    </row>
    <row r="64" spans="1:11">
      <c r="A64" s="3" t="s">
        <v>34</v>
      </c>
      <c r="B64" s="5">
        <v>48287.85</v>
      </c>
      <c r="C64" s="5">
        <v>5150</v>
      </c>
      <c r="D64" s="5">
        <v>80.400000000000006</v>
      </c>
      <c r="E64" s="5">
        <v>7.4</v>
      </c>
      <c r="F64" s="12">
        <v>0</v>
      </c>
      <c r="G64" s="12">
        <v>0</v>
      </c>
      <c r="H64" s="5">
        <v>625672.86</v>
      </c>
      <c r="I64" s="19">
        <f xml:space="preserve"> 147642.16
+ 1.2034 * B64
+ 33.6227 * C64
+ 2893.1764 * D64
- 2862.4094 * E64
+ 11558.4348 * F64
- 244.4477 * G64</f>
        <v>590338.21668999991</v>
      </c>
      <c r="J64" s="12">
        <f>H64-I64</f>
        <v>35334.643310000072</v>
      </c>
      <c r="K64" s="12" t="str">
        <f xml:space="preserve"> IF(J64&gt;0, "Positive", "Negative")</f>
        <v>Positive</v>
      </c>
    </row>
    <row r="65" spans="1:11">
      <c r="A65" s="3" t="s">
        <v>41</v>
      </c>
      <c r="B65" s="5">
        <v>80562.81</v>
      </c>
      <c r="C65" s="5">
        <v>7470</v>
      </c>
      <c r="D65" s="5">
        <v>83.5</v>
      </c>
      <c r="E65" s="5">
        <v>2.29</v>
      </c>
      <c r="F65" s="12">
        <v>1</v>
      </c>
      <c r="G65" s="12">
        <v>1</v>
      </c>
      <c r="H65" s="5">
        <v>776922.17</v>
      </c>
      <c r="I65" s="19">
        <f xml:space="preserve"> 147642.16
+ 1.2034 * B65
+ 33.6227 * C65
+ 2893.1764 * D65
- 2862.4094 * E65
+ 11558.4348 * F65
- 244.4477 * G65</f>
        <v>742092.31352800003</v>
      </c>
      <c r="J65" s="12">
        <f>H65-I65</f>
        <v>34829.856472000014</v>
      </c>
      <c r="K65" s="12" t="str">
        <f xml:space="preserve"> IF(J65&gt;0, "Positive", "Negative")</f>
        <v>Positive</v>
      </c>
    </row>
    <row r="66" spans="1:11">
      <c r="A66" s="3" t="s">
        <v>37</v>
      </c>
      <c r="B66" s="5">
        <v>37284.660000000003</v>
      </c>
      <c r="C66" s="5">
        <v>3928</v>
      </c>
      <c r="D66" s="5">
        <v>86.5</v>
      </c>
      <c r="E66" s="5">
        <v>1.64</v>
      </c>
      <c r="F66" s="12">
        <v>1</v>
      </c>
      <c r="G66" s="12">
        <v>1</v>
      </c>
      <c r="H66" s="5">
        <v>615966.48</v>
      </c>
      <c r="I66" s="19">
        <f xml:space="preserve"> 147642.16
+ 1.2034 * B66
+ 33.6227 * C66
+ 2893.1764 * D66
- 2862.4094 * E66
+ 11558.4348 * F66
- 244.4477 * G66</f>
        <v>581459.87972799991</v>
      </c>
      <c r="J66" s="12">
        <f>H66-I66</f>
        <v>34506.600272000069</v>
      </c>
      <c r="K66" s="12" t="str">
        <f xml:space="preserve"> IF(J66&gt;0, "Positive", "Negative")</f>
        <v>Positive</v>
      </c>
    </row>
    <row r="67" spans="1:11">
      <c r="A67" s="3" t="s">
        <v>22</v>
      </c>
      <c r="B67" s="5">
        <v>71828.259999999995</v>
      </c>
      <c r="C67" s="5">
        <v>12775</v>
      </c>
      <c r="D67" s="5">
        <v>81.7</v>
      </c>
      <c r="E67" s="5">
        <v>4.24</v>
      </c>
      <c r="F67" s="12">
        <v>0</v>
      </c>
      <c r="G67" s="12">
        <v>0</v>
      </c>
      <c r="H67" s="5">
        <v>922168.6</v>
      </c>
      <c r="I67" s="19">
        <f xml:space="preserve"> 147642.16
+ 1.2034 * B67
+ 33.6227 * C67
+ 2893.1764 * D67
- 2862.4094 * E67
+ 11558.4348 * F67
- 244.4477 * G67</f>
        <v>887846.17660800007</v>
      </c>
      <c r="J67" s="12">
        <f>H67-I67</f>
        <v>34322.42339199991</v>
      </c>
      <c r="K67" s="12" t="str">
        <f xml:space="preserve"> IF(J67&gt;0, "Positive", "Negative")</f>
        <v>Positive</v>
      </c>
    </row>
    <row r="68" spans="1:11">
      <c r="A68" s="3" t="s">
        <v>43</v>
      </c>
      <c r="B68" s="5">
        <v>78231.91</v>
      </c>
      <c r="C68" s="5">
        <v>3788</v>
      </c>
      <c r="D68" s="5">
        <v>88.5</v>
      </c>
      <c r="E68" s="5">
        <v>15.51</v>
      </c>
      <c r="F68" s="12">
        <v>0</v>
      </c>
      <c r="G68" s="12">
        <v>1</v>
      </c>
      <c r="H68" s="5">
        <v>614596.31999999995</v>
      </c>
      <c r="I68" s="19">
        <f xml:space="preserve"> 147642.16
+ 1.2034 * B68
+ 33.6227 * C68
+ 2893.1764 * D68
- 2862.4094 * E68
+ 11558.4348 * F68
- 244.4477 * G68</f>
        <v>580554.9219999999</v>
      </c>
      <c r="J68" s="12">
        <f>H68-I68</f>
        <v>34041.398000000045</v>
      </c>
      <c r="K68" s="12" t="str">
        <f xml:space="preserve"> IF(J68&gt;0, "Positive", "Negative")</f>
        <v>Positive</v>
      </c>
    </row>
    <row r="69" spans="1:11">
      <c r="A69" s="3" t="s">
        <v>68</v>
      </c>
      <c r="B69" s="5">
        <v>57147.88</v>
      </c>
      <c r="C69" s="5">
        <v>5252</v>
      </c>
      <c r="D69" s="5">
        <v>95.5</v>
      </c>
      <c r="E69" s="5">
        <v>8.51</v>
      </c>
      <c r="F69" s="12">
        <v>0</v>
      </c>
      <c r="G69" s="12">
        <v>1</v>
      </c>
      <c r="H69" s="5">
        <v>678311.17</v>
      </c>
      <c r="I69" s="19">
        <f xml:space="preserve"> 147642.16
+ 1.2034 * B69
+ 33.6227 * C69
+ 2893.1764 * D69
- 2862.4094 * E69
+ 11558.4348 * F69
- 244.4477 * G69</f>
        <v>644695.13369799999</v>
      </c>
      <c r="J69" s="12">
        <f>H69-I69</f>
        <v>33616.036302000051</v>
      </c>
      <c r="K69" s="12" t="str">
        <f xml:space="preserve"> IF(J69&gt;0, "Positive", "Negative")</f>
        <v>Positive</v>
      </c>
    </row>
    <row r="70" spans="1:11">
      <c r="A70" s="3" t="s">
        <v>68</v>
      </c>
      <c r="B70" s="5">
        <v>72784.800000000003</v>
      </c>
      <c r="C70" s="5">
        <v>7932</v>
      </c>
      <c r="D70" s="5">
        <v>74.900000000000006</v>
      </c>
      <c r="E70" s="5">
        <v>13.62</v>
      </c>
      <c r="F70" s="12">
        <v>0</v>
      </c>
      <c r="G70" s="12">
        <v>1</v>
      </c>
      <c r="H70" s="5">
        <v>712546.38</v>
      </c>
      <c r="I70" s="19">
        <f xml:space="preserve"> 147642.16
+ 1.2034 * B70
+ 33.6227 * C70
+ 2893.1764 * D70
- 2862.4094 * E70
+ 11558.4348 * F70
- 244.4477 * G70</f>
        <v>679395.093352</v>
      </c>
      <c r="J70" s="12">
        <f>H70-I70</f>
        <v>33151.286648000008</v>
      </c>
      <c r="K70" s="12" t="str">
        <f xml:space="preserve"> IF(J70&gt;0, "Positive", "Negative")</f>
        <v>Positive</v>
      </c>
    </row>
    <row r="71" spans="1:11">
      <c r="A71" s="3" t="s">
        <v>48</v>
      </c>
      <c r="B71" s="5">
        <v>57919.07</v>
      </c>
      <c r="C71" s="5">
        <v>7374</v>
      </c>
      <c r="D71" s="5">
        <v>82.3</v>
      </c>
      <c r="E71" s="5">
        <v>2.87</v>
      </c>
      <c r="F71" s="12">
        <v>0</v>
      </c>
      <c r="G71" s="12">
        <v>1</v>
      </c>
      <c r="H71" s="5">
        <v>727227.2</v>
      </c>
      <c r="I71" s="19">
        <f xml:space="preserve"> 147642.16
+ 1.2034 * B71
+ 33.6227 * C71
+ 2893.1764 * D71
- 2862.4094 * E71
+ 11558.4348 * F71
- 244.4477 * G71</f>
        <v>694924.61367999983</v>
      </c>
      <c r="J71" s="12">
        <f>H71-I71</f>
        <v>32302.586320000119</v>
      </c>
      <c r="K71" s="12" t="str">
        <f xml:space="preserve"> IF(J71&gt;0, "Positive", "Negative")</f>
        <v>Positive</v>
      </c>
    </row>
    <row r="72" spans="1:11">
      <c r="A72" s="3" t="s">
        <v>75</v>
      </c>
      <c r="B72" s="5">
        <v>50887.46</v>
      </c>
      <c r="C72" s="5">
        <v>9505</v>
      </c>
      <c r="D72" s="5">
        <v>89.7</v>
      </c>
      <c r="E72" s="5">
        <v>2.8</v>
      </c>
      <c r="F72" s="12">
        <v>0</v>
      </c>
      <c r="G72" s="12">
        <v>0</v>
      </c>
      <c r="H72" s="5">
        <v>812152.6</v>
      </c>
      <c r="I72" s="19">
        <f xml:space="preserve"> 147642.16
+ 1.2034 * B72
+ 33.6227 * C72
+ 2893.1764 * D72
- 2862.4094 * E72
+ 11558.4348 * F72
- 244.4477 * G72</f>
        <v>779967.069624</v>
      </c>
      <c r="J72" s="12">
        <f>H72-I72</f>
        <v>32185.530375999981</v>
      </c>
      <c r="K72" s="12" t="str">
        <f xml:space="preserve"> IF(J72&gt;0, "Positive", "Negative")</f>
        <v>Positive</v>
      </c>
    </row>
    <row r="73" spans="1:11">
      <c r="A73" s="3" t="s">
        <v>66</v>
      </c>
      <c r="B73" s="5">
        <v>67494.09</v>
      </c>
      <c r="C73" s="5">
        <v>12361</v>
      </c>
      <c r="D73" s="5">
        <v>76.599999999999994</v>
      </c>
      <c r="E73" s="5">
        <v>3.65</v>
      </c>
      <c r="F73" s="12">
        <v>0</v>
      </c>
      <c r="G73" s="12">
        <v>0</v>
      </c>
      <c r="H73" s="5">
        <v>887537.75</v>
      </c>
      <c r="I73" s="19">
        <f xml:space="preserve"> 147642.16
+ 1.2034 * B73
+ 33.6227 * C73
+ 2893.1764 * D73
- 2862.4094 * E73
+ 11558.4348 * F73
- 244.4477 * G73</f>
        <v>855644.26053600002</v>
      </c>
      <c r="J73" s="12">
        <f>H73-I73</f>
        <v>31893.489463999984</v>
      </c>
      <c r="K73" s="12" t="str">
        <f xml:space="preserve"> IF(J73&gt;0, "Positive", "Negative")</f>
        <v>Positive</v>
      </c>
    </row>
    <row r="74" spans="1:11">
      <c r="A74" s="3" t="s">
        <v>39</v>
      </c>
      <c r="B74" s="5">
        <v>55081.16</v>
      </c>
      <c r="C74" s="5">
        <v>5485</v>
      </c>
      <c r="D74" s="5">
        <v>88</v>
      </c>
      <c r="E74" s="5">
        <v>3.37</v>
      </c>
      <c r="F74" s="12">
        <v>0</v>
      </c>
      <c r="G74" s="12">
        <v>1</v>
      </c>
      <c r="H74" s="5">
        <v>674774.09</v>
      </c>
      <c r="I74" s="19">
        <f xml:space="preserve"> 147642.16
+ 1.2034 * B74
+ 33.6227 * C74
+ 2893.1764 * D74
- 2862.4094 * E74
+ 11558.4348 * F74
- 244.4477 * G74</f>
        <v>643056.09326600016</v>
      </c>
      <c r="J74" s="12">
        <f>H74-I74</f>
        <v>31717.996733999811</v>
      </c>
      <c r="K74" s="12" t="str">
        <f xml:space="preserve"> IF(J74&gt;0, "Positive", "Negative")</f>
        <v>Positive</v>
      </c>
    </row>
    <row r="75" spans="1:11">
      <c r="A75" s="3" t="s">
        <v>71</v>
      </c>
      <c r="B75" s="5">
        <v>71851.45</v>
      </c>
      <c r="C75" s="5">
        <v>4970</v>
      </c>
      <c r="D75" s="5">
        <v>89.6</v>
      </c>
      <c r="E75" s="5">
        <v>0.2</v>
      </c>
      <c r="F75" s="12">
        <v>0</v>
      </c>
      <c r="G75" s="12">
        <v>0</v>
      </c>
      <c r="H75" s="5">
        <v>691447.43</v>
      </c>
      <c r="I75" s="19">
        <f xml:space="preserve"> 147642.16
+ 1.2034 * B75
+ 33.6227 * C75
+ 2893.1764 * D75
- 2862.4094 * E75
+ 11558.4348 * F75
- 244.4477 * G75</f>
        <v>659869.13748999999</v>
      </c>
      <c r="J75" s="12">
        <f>H75-I75</f>
        <v>31578.292510000058</v>
      </c>
      <c r="K75" s="12" t="str">
        <f xml:space="preserve"> IF(J75&gt;0, "Positive", "Negative")</f>
        <v>Positive</v>
      </c>
    </row>
    <row r="76" spans="1:11">
      <c r="A76" s="3" t="s">
        <v>76</v>
      </c>
      <c r="B76" s="5">
        <v>69180.539999999994</v>
      </c>
      <c r="C76" s="5">
        <v>5394</v>
      </c>
      <c r="D76" s="5">
        <v>82.9</v>
      </c>
      <c r="E76" s="5">
        <v>3.27</v>
      </c>
      <c r="F76" s="12">
        <v>0</v>
      </c>
      <c r="G76" s="12">
        <v>0</v>
      </c>
      <c r="H76" s="5">
        <v>674289.1</v>
      </c>
      <c r="I76" s="19">
        <f xml:space="preserve"> 147642.16
+ 1.2034 * B76
+ 33.6227 * C76
+ 2893.1764 * D76
- 2862.4094 * E76
+ 11558.4348 * F76
- 244.4477 * G76</f>
        <v>642739.11045799998</v>
      </c>
      <c r="J76" s="12">
        <f>H76-I76</f>
        <v>31549.989541999996</v>
      </c>
      <c r="K76" s="12" t="str">
        <f xml:space="preserve"> IF(J76&gt;0, "Positive", "Negative")</f>
        <v>Positive</v>
      </c>
    </row>
    <row r="77" spans="1:11">
      <c r="A77" s="3" t="s">
        <v>44</v>
      </c>
      <c r="B77" s="5">
        <v>82116.19</v>
      </c>
      <c r="C77" s="5">
        <v>5988</v>
      </c>
      <c r="D77" s="5">
        <v>91.8</v>
      </c>
      <c r="E77" s="5">
        <v>5.75</v>
      </c>
      <c r="F77" s="12">
        <v>1</v>
      </c>
      <c r="G77" s="12">
        <v>0</v>
      </c>
      <c r="H77" s="5">
        <v>739852.58</v>
      </c>
      <c r="I77" s="19">
        <f xml:space="preserve"> 147642.16
+ 1.2034 * B77
+ 33.6227 * C77
+ 2893.1764 * D77
- 2862.4094 * E77
+ 11558.4348 * F77
- 244.4477 * G77</f>
        <v>708486.68491600011</v>
      </c>
      <c r="J77" s="12">
        <f>H77-I77</f>
        <v>31365.895083999843</v>
      </c>
      <c r="K77" s="12" t="str">
        <f xml:space="preserve"> IF(J77&gt;0, "Positive", "Negative")</f>
        <v>Positive</v>
      </c>
    </row>
    <row r="78" spans="1:11">
      <c r="A78" s="3" t="s">
        <v>52</v>
      </c>
      <c r="B78" s="5">
        <v>83044.17</v>
      </c>
      <c r="C78" s="5">
        <v>3694</v>
      </c>
      <c r="D78" s="5">
        <v>89.4</v>
      </c>
      <c r="E78" s="5">
        <v>2.2000000000000002</v>
      </c>
      <c r="F78" s="12">
        <v>0</v>
      </c>
      <c r="G78" s="12">
        <v>1</v>
      </c>
      <c r="H78" s="5">
        <v>654317.09</v>
      </c>
      <c r="I78" s="19">
        <f xml:space="preserve"> 147642.16
+ 1.2034 * B78
+ 33.6227 * C78
+ 2893.1764 * D78
- 2862.4094 * E78
+ 11558.4348 * F78
- 244.4477 * G78</f>
        <v>623887.98975800001</v>
      </c>
      <c r="J78" s="12">
        <f>H78-I78</f>
        <v>30429.100241999957</v>
      </c>
      <c r="K78" s="12" t="str">
        <f xml:space="preserve"> IF(J78&gt;0, "Positive", "Negative")</f>
        <v>Positive</v>
      </c>
    </row>
    <row r="79" spans="1:11">
      <c r="A79" s="3" t="s">
        <v>43</v>
      </c>
      <c r="B79" s="5">
        <v>55388.11</v>
      </c>
      <c r="C79" s="5">
        <v>3091</v>
      </c>
      <c r="D79" s="5">
        <v>85.4</v>
      </c>
      <c r="E79" s="5">
        <v>7.34</v>
      </c>
      <c r="F79" s="12">
        <v>0</v>
      </c>
      <c r="G79" s="12">
        <v>1</v>
      </c>
      <c r="H79" s="5">
        <v>574436.29</v>
      </c>
      <c r="I79" s="19">
        <f xml:space="preserve"> 147642.16
+ 1.2034 * B79
+ 33.6227 * C79
+ 2893.1764 * D79
- 2862.4094 * E79
+ 11558.4348 * F79
- 244.4477 * G79</f>
        <v>544046.70913799992</v>
      </c>
      <c r="J79" s="12">
        <f>H79-I79</f>
        <v>30389.580862000119</v>
      </c>
      <c r="K79" s="12" t="str">
        <f xml:space="preserve"> IF(J79&gt;0, "Positive", "Negative")</f>
        <v>Positive</v>
      </c>
    </row>
    <row r="80" spans="1:11">
      <c r="A80" s="3" t="s">
        <v>37</v>
      </c>
      <c r="B80" s="5">
        <v>74954.47</v>
      </c>
      <c r="C80" s="5">
        <v>6620</v>
      </c>
      <c r="D80" s="5">
        <v>91.1</v>
      </c>
      <c r="E80" s="5">
        <v>1.1100000000000001</v>
      </c>
      <c r="F80" s="12">
        <v>1</v>
      </c>
      <c r="G80" s="12">
        <v>1</v>
      </c>
      <c r="H80" s="5">
        <v>761860.19</v>
      </c>
      <c r="I80" s="19">
        <f xml:space="preserve"> 147642.16
+ 1.2034 * B80
+ 33.6227 * C80
+ 2893.1764 * D80
- 2862.4094 * E80
+ 11558.4348 * F80
- 244.4477 * G80</f>
        <v>732129.72590399999</v>
      </c>
      <c r="J80" s="12">
        <f>H80-I80</f>
        <v>29730.464095999952</v>
      </c>
      <c r="K80" s="12" t="str">
        <f xml:space="preserve"> IF(J80&gt;0, "Positive", "Negative")</f>
        <v>Positive</v>
      </c>
    </row>
    <row r="81" spans="1:11">
      <c r="A81" s="3" t="s">
        <v>34</v>
      </c>
      <c r="B81" s="5">
        <v>49710.29</v>
      </c>
      <c r="C81" s="5">
        <v>5559</v>
      </c>
      <c r="D81" s="5">
        <v>71</v>
      </c>
      <c r="E81" s="5">
        <v>9.11</v>
      </c>
      <c r="F81" s="12">
        <v>0</v>
      </c>
      <c r="G81" s="12">
        <v>0</v>
      </c>
      <c r="H81" s="5">
        <v>603297.56999999995</v>
      </c>
      <c r="I81" s="19">
        <f xml:space="preserve"> 147642.16
+ 1.2034 * B81
+ 33.6227 * C81
+ 2893.1764 * D81
- 2862.4094 * E81
+ 11558.4348 * F81
- 244.4477 * G81</f>
        <v>573711.08705199999</v>
      </c>
      <c r="J81" s="12">
        <f>H81-I81</f>
        <v>29586.482947999961</v>
      </c>
      <c r="K81" s="12" t="str">
        <f xml:space="preserve"> IF(J81&gt;0, "Positive", "Negative")</f>
        <v>Positive</v>
      </c>
    </row>
    <row r="82" spans="1:11">
      <c r="A82" s="3" t="s">
        <v>90</v>
      </c>
      <c r="B82" s="5">
        <v>17562.57</v>
      </c>
      <c r="C82" s="5">
        <v>3326</v>
      </c>
      <c r="D82" s="5">
        <v>88.1</v>
      </c>
      <c r="E82" s="5">
        <v>1.04</v>
      </c>
      <c r="F82" s="12">
        <v>0</v>
      </c>
      <c r="G82" s="12">
        <v>1</v>
      </c>
      <c r="H82" s="5">
        <v>561597.32999999996</v>
      </c>
      <c r="I82" s="19">
        <f xml:space="preserve"> 147642.16
+ 1.2034 * B82
+ 33.6227 * C82
+ 2893.1764 * D82
- 2862.4094 * E82
+ 11558.4348 * F82
- 244.4477 * G82</f>
        <v>532273.54430199997</v>
      </c>
      <c r="J82" s="12">
        <f>H82-I82</f>
        <v>29323.785697999992</v>
      </c>
      <c r="K82" s="12" t="str">
        <f xml:space="preserve"> IF(J82&gt;0, "Positive", "Negative")</f>
        <v>Positive</v>
      </c>
    </row>
    <row r="83" spans="1:11">
      <c r="A83" s="3" t="s">
        <v>82</v>
      </c>
      <c r="B83" s="5">
        <v>51781.599999999999</v>
      </c>
      <c r="C83" s="5">
        <v>5648</v>
      </c>
      <c r="D83" s="5">
        <v>85.5</v>
      </c>
      <c r="E83" s="5">
        <v>4.04</v>
      </c>
      <c r="F83" s="12">
        <v>1</v>
      </c>
      <c r="G83" s="12">
        <v>0</v>
      </c>
      <c r="H83" s="5">
        <v>676337.41</v>
      </c>
      <c r="I83" s="19">
        <f xml:space="preserve"> 147642.16
+ 1.2034 * B83
+ 33.6227 * C83
+ 2893.1764 * D83
- 2862.4094 * E83
+ 11558.4348 * F83
- 244.4477 * G83</f>
        <v>647218.03006400005</v>
      </c>
      <c r="J83" s="12">
        <f>H83-I83</f>
        <v>29119.379935999983</v>
      </c>
      <c r="K83" s="12" t="str">
        <f xml:space="preserve"> IF(J83&gt;0, "Positive", "Negative")</f>
        <v>Positive</v>
      </c>
    </row>
    <row r="84" spans="1:11">
      <c r="A84" s="3" t="s">
        <v>78</v>
      </c>
      <c r="B84" s="5">
        <v>39341.449999999997</v>
      </c>
      <c r="C84" s="5">
        <v>1375</v>
      </c>
      <c r="D84" s="5">
        <v>95</v>
      </c>
      <c r="E84" s="5">
        <v>5.32</v>
      </c>
      <c r="F84" s="12">
        <v>0</v>
      </c>
      <c r="G84" s="12">
        <v>0</v>
      </c>
      <c r="H84" s="5">
        <v>529598.93999999994</v>
      </c>
      <c r="I84" s="19">
        <f xml:space="preserve"> 147642.16
+ 1.2034 * B84
+ 33.6227 * C84
+ 2893.1764 * D84
- 2862.4094 * E84
+ 11558.4348 * F84
- 244.4477 * G84</f>
        <v>500840.61342199997</v>
      </c>
      <c r="J84" s="12">
        <f>H84-I84</f>
        <v>28758.326577999978</v>
      </c>
      <c r="K84" s="12" t="str">
        <f xml:space="preserve"> IF(J84&gt;0, "Positive", "Negative")</f>
        <v>Positive</v>
      </c>
    </row>
    <row r="85" spans="1:11">
      <c r="A85" s="3" t="s">
        <v>85</v>
      </c>
      <c r="B85" s="5">
        <v>75412.740000000005</v>
      </c>
      <c r="C85" s="5">
        <v>5641</v>
      </c>
      <c r="D85" s="5">
        <v>87.9</v>
      </c>
      <c r="E85" s="5">
        <v>0.84</v>
      </c>
      <c r="F85" s="12">
        <v>1</v>
      </c>
      <c r="G85" s="12">
        <v>0</v>
      </c>
      <c r="H85" s="5">
        <v>720079.54</v>
      </c>
      <c r="I85" s="19">
        <f xml:space="preserve"> 147642.16
+ 1.2034 * B85
+ 33.6227 * C85
+ 2893.1764 * D85
- 2862.4094 * E85
+ 11558.4348 * F85
- 244.4477 * G85</f>
        <v>691523.71848000004</v>
      </c>
      <c r="J85" s="12">
        <f>H85-I85</f>
        <v>28555.821519999998</v>
      </c>
      <c r="K85" s="12" t="str">
        <f xml:space="preserve"> IF(J85&gt;0, "Positive", "Negative")</f>
        <v>Positive</v>
      </c>
    </row>
    <row r="86" spans="1:11">
      <c r="A86" s="3" t="s">
        <v>48</v>
      </c>
      <c r="B86" s="5">
        <v>31042.03</v>
      </c>
      <c r="C86" s="5">
        <v>7107</v>
      </c>
      <c r="D86" s="5">
        <v>87</v>
      </c>
      <c r="E86" s="5">
        <v>13.33</v>
      </c>
      <c r="F86" s="12">
        <v>0</v>
      </c>
      <c r="G86" s="12">
        <v>1</v>
      </c>
      <c r="H86" s="5">
        <v>665594.93999999994</v>
      </c>
      <c r="I86" s="19">
        <f xml:space="preserve"> 147642.16
+ 1.2034 * B86
+ 33.6227 * C86
+ 2893.1764 * D86
- 2862.4094 * E86
+ 11558.4348 * F86
- 244.4477 * G86</f>
        <v>637260.6496</v>
      </c>
      <c r="J86" s="12">
        <f>H86-I86</f>
        <v>28334.29039999994</v>
      </c>
      <c r="K86" s="12" t="str">
        <f xml:space="preserve"> IF(J86&gt;0, "Positive", "Negative")</f>
        <v>Positive</v>
      </c>
    </row>
    <row r="87" spans="1:11">
      <c r="A87" s="3" t="s">
        <v>46</v>
      </c>
      <c r="B87" s="5">
        <v>55101.1</v>
      </c>
      <c r="C87" s="5">
        <v>5281</v>
      </c>
      <c r="D87" s="5">
        <v>91</v>
      </c>
      <c r="E87" s="5">
        <v>2.7</v>
      </c>
      <c r="F87" s="12">
        <v>0</v>
      </c>
      <c r="G87" s="12">
        <v>0</v>
      </c>
      <c r="H87" s="5">
        <v>675177.68</v>
      </c>
      <c r="I87" s="19">
        <f xml:space="preserve"> 147642.16
+ 1.2034 * B87
+ 33.6227 * C87
+ 2893.1764 * D87
- 2862.4094 * E87
+ 11558.4348 * F87
- 244.4477 * G87</f>
        <v>647062.84945999994</v>
      </c>
      <c r="J87" s="12">
        <f>H87-I87</f>
        <v>28114.830540000112</v>
      </c>
      <c r="K87" s="12" t="str">
        <f xml:space="preserve"> IF(J87&gt;0, "Positive", "Negative")</f>
        <v>Positive</v>
      </c>
    </row>
    <row r="88" spans="1:11">
      <c r="A88" s="3" t="s">
        <v>56</v>
      </c>
      <c r="B88" s="5">
        <v>75109.67</v>
      </c>
      <c r="C88" s="5">
        <v>6244</v>
      </c>
      <c r="D88" s="5">
        <v>96.3</v>
      </c>
      <c r="E88" s="5">
        <v>7.38</v>
      </c>
      <c r="F88" s="12">
        <v>1</v>
      </c>
      <c r="G88" s="12">
        <v>0</v>
      </c>
      <c r="H88" s="5">
        <v>743348.84</v>
      </c>
      <c r="I88" s="19">
        <f xml:space="preserve"> 147642.16
+ 1.2034 * B88
+ 33.6227 * C88
+ 2893.1764 * D88
- 2862.4094 * E88
+ 11558.4348 * F88
- 244.4477 * G88</f>
        <v>717016.01642599993</v>
      </c>
      <c r="J88" s="12">
        <f>H88-I88</f>
        <v>26332.823574000038</v>
      </c>
      <c r="K88" s="12" t="str">
        <f xml:space="preserve"> IF(J88&gt;0, "Positive", "Negative")</f>
        <v>Positive</v>
      </c>
    </row>
    <row r="89" spans="1:11">
      <c r="A89" s="3" t="s">
        <v>59</v>
      </c>
      <c r="B89" s="5">
        <v>47093.55</v>
      </c>
      <c r="C89" s="5">
        <v>5550</v>
      </c>
      <c r="D89" s="5">
        <v>95</v>
      </c>
      <c r="E89" s="5">
        <v>2.33</v>
      </c>
      <c r="F89" s="12">
        <v>1</v>
      </c>
      <c r="G89" s="12">
        <v>0</v>
      </c>
      <c r="H89" s="5">
        <v>696744.15</v>
      </c>
      <c r="I89" s="19">
        <f xml:space="preserve"> 147642.16
+ 1.2034 * B89
+ 33.6227 * C89
+ 2893.1764 * D89
- 2862.4094 * E89
+ 11558.4348 * F89
- 244.4477 * G89</f>
        <v>670661.30196800001</v>
      </c>
      <c r="J89" s="12">
        <f>H89-I89</f>
        <v>26082.848032000009</v>
      </c>
      <c r="K89" s="12" t="str">
        <f xml:space="preserve"> IF(J89&gt;0, "Positive", "Negative")</f>
        <v>Positive</v>
      </c>
    </row>
    <row r="90" spans="1:11">
      <c r="A90" s="3" t="s">
        <v>78</v>
      </c>
      <c r="B90" s="5">
        <v>68212.289999999994</v>
      </c>
      <c r="C90" s="5">
        <v>4713</v>
      </c>
      <c r="D90" s="5">
        <v>82.6</v>
      </c>
      <c r="E90" s="5">
        <v>4.07</v>
      </c>
      <c r="F90" s="12">
        <v>0</v>
      </c>
      <c r="G90" s="12">
        <v>0</v>
      </c>
      <c r="H90" s="5">
        <v>641564.6</v>
      </c>
      <c r="I90" s="19">
        <f xml:space="preserve"> 147642.16
+ 1.2034 * B90
+ 33.6227 * C90
+ 2893.1764 * D90
- 2862.4094 * E90
+ 11558.4348 * F90
- 244.4477 * G90</f>
        <v>615518.979268</v>
      </c>
      <c r="J90" s="12">
        <f>H90-I90</f>
        <v>26045.620731999981</v>
      </c>
      <c r="K90" s="12" t="str">
        <f xml:space="preserve"> IF(J90&gt;0, "Positive", "Negative")</f>
        <v>Positive</v>
      </c>
    </row>
    <row r="91" spans="1:11">
      <c r="A91" s="3" t="s">
        <v>41</v>
      </c>
      <c r="B91" s="5">
        <v>54872.82</v>
      </c>
      <c r="C91" s="5">
        <v>5962</v>
      </c>
      <c r="D91" s="5">
        <v>85.4</v>
      </c>
      <c r="E91" s="5">
        <v>2.58</v>
      </c>
      <c r="F91" s="12">
        <v>1</v>
      </c>
      <c r="G91" s="12">
        <v>1</v>
      </c>
      <c r="H91" s="5">
        <v>691112.6</v>
      </c>
      <c r="I91" s="19">
        <f xml:space="preserve"> 147642.16
+ 1.2034 * B91
+ 33.6227 * C91
+ 2893.1764 * D91
- 2862.4094 * E91
+ 11558.4348 * F91
- 244.4477 * G91</f>
        <v>665140.88439600007</v>
      </c>
      <c r="J91" s="12">
        <f>H91-I91</f>
        <v>25971.71560399991</v>
      </c>
      <c r="K91" s="12" t="str">
        <f xml:space="preserve"> IF(J91&gt;0, "Positive", "Negative")</f>
        <v>Positive</v>
      </c>
    </row>
    <row r="92" spans="1:11">
      <c r="A92" s="3" t="s">
        <v>81</v>
      </c>
      <c r="B92" s="5">
        <v>72961.95</v>
      </c>
      <c r="C92" s="5">
        <v>9996</v>
      </c>
      <c r="D92" s="5">
        <v>89.1</v>
      </c>
      <c r="E92" s="5">
        <v>15.66</v>
      </c>
      <c r="F92" s="12">
        <v>0</v>
      </c>
      <c r="G92" s="12">
        <v>0</v>
      </c>
      <c r="H92" s="5">
        <v>810355.02</v>
      </c>
      <c r="I92" s="19">
        <f xml:space="preserve"> 147642.16
+ 1.2034 * B92
+ 33.6227 * C92
+ 2893.1764 * D92
- 2862.4094 * E92
+ 11558.4348 * F92
- 244.4477 * G92</f>
        <v>784493.76586599997</v>
      </c>
      <c r="J92" s="12">
        <f>H92-I92</f>
        <v>25861.254134000046</v>
      </c>
      <c r="K92" s="12" t="str">
        <f xml:space="preserve"> IF(J92&gt;0, "Positive", "Negative")</f>
        <v>Positive</v>
      </c>
    </row>
    <row r="93" spans="1:11">
      <c r="A93" s="3" t="s">
        <v>63</v>
      </c>
      <c r="B93" s="5">
        <v>78432.14</v>
      </c>
      <c r="C93" s="5">
        <v>9440</v>
      </c>
      <c r="D93" s="5">
        <v>89.2</v>
      </c>
      <c r="E93" s="5">
        <v>7.86</v>
      </c>
      <c r="F93" s="12">
        <v>0</v>
      </c>
      <c r="G93" s="12">
        <v>0</v>
      </c>
      <c r="H93" s="5">
        <v>820729.29</v>
      </c>
      <c r="I93" s="19">
        <f xml:space="preserve"> 147642.16
+ 1.2034 * B93
+ 33.6227 * C93
+ 2893.1764 * D93
- 2862.4094 * E93
+ 11558.4348 * F93
- 244.4477 * G93</f>
        <v>794998.48227200005</v>
      </c>
      <c r="J93" s="12">
        <f>H93-I93</f>
        <v>25730.807727999985</v>
      </c>
      <c r="K93" s="12" t="str">
        <f xml:space="preserve"> IF(J93&gt;0, "Positive", "Negative")</f>
        <v>Positive</v>
      </c>
    </row>
    <row r="94" spans="1:11">
      <c r="A94" s="3" t="s">
        <v>67</v>
      </c>
      <c r="B94" s="5">
        <v>45209.25</v>
      </c>
      <c r="C94" s="5">
        <v>9287</v>
      </c>
      <c r="D94" s="5">
        <v>86.4</v>
      </c>
      <c r="E94" s="5">
        <v>13.22</v>
      </c>
      <c r="F94" s="12">
        <v>0</v>
      </c>
      <c r="G94" s="12">
        <v>0</v>
      </c>
      <c r="H94" s="5">
        <v>751393.88</v>
      </c>
      <c r="I94" s="19">
        <f xml:space="preserve"> 147642.16
+ 1.2034 * B94
+ 33.6227 * C94
+ 2893.1764 * D94
- 2862.4094 * E94
+ 11558.4348 * F94
- 244.4477 * G94</f>
        <v>726430.37504200009</v>
      </c>
      <c r="J94" s="12">
        <f>H94-I94</f>
        <v>24963.504957999918</v>
      </c>
      <c r="K94" s="12" t="str">
        <f xml:space="preserve"> IF(J94&gt;0, "Positive", "Negative")</f>
        <v>Positive</v>
      </c>
    </row>
    <row r="95" spans="1:11">
      <c r="A95" s="3" t="s">
        <v>33</v>
      </c>
      <c r="B95" s="5">
        <v>50043.65</v>
      </c>
      <c r="C95" s="5">
        <v>3804</v>
      </c>
      <c r="D95" s="5">
        <v>90.9</v>
      </c>
      <c r="E95" s="5">
        <v>2.7</v>
      </c>
      <c r="F95" s="12">
        <v>0</v>
      </c>
      <c r="G95" s="12">
        <v>0</v>
      </c>
      <c r="H95" s="5">
        <v>614800.09</v>
      </c>
      <c r="I95" s="19">
        <f xml:space="preserve"> 147642.16
+ 1.2034 * B95
+ 33.6227 * C95
+ 2893.1764 * D95
- 2862.4094 * E95
+ 11558.4348 * F95
- 244.4477 * G95</f>
        <v>591026.66859000002</v>
      </c>
      <c r="J95" s="12">
        <f>H95-I95</f>
        <v>23773.421409999952</v>
      </c>
      <c r="K95" s="12" t="str">
        <f xml:space="preserve"> IF(J95&gt;0, "Positive", "Negative")</f>
        <v>Positive</v>
      </c>
    </row>
    <row r="96" spans="1:11">
      <c r="A96" s="3" t="s">
        <v>47</v>
      </c>
      <c r="B96" s="5">
        <v>90084.4</v>
      </c>
      <c r="C96" s="5">
        <v>6832</v>
      </c>
      <c r="D96" s="5">
        <v>80.5</v>
      </c>
      <c r="E96" s="5">
        <v>0.77</v>
      </c>
      <c r="F96" s="12">
        <v>0</v>
      </c>
      <c r="G96" s="12">
        <v>0</v>
      </c>
      <c r="H96" s="5">
        <v>740102.64</v>
      </c>
      <c r="I96" s="19">
        <f xml:space="preserve"> 147642.16
+ 1.2034 * B96
+ 33.6227 * C96
+ 2893.1764 * D96
- 2862.4094 * E96
+ 11558.4348 * F96
- 244.4477 * G96</f>
        <v>716456.65832199994</v>
      </c>
      <c r="J96" s="12">
        <f>H96-I96</f>
        <v>23645.981678000069</v>
      </c>
      <c r="K96" s="12" t="str">
        <f xml:space="preserve"> IF(J96&gt;0, "Positive", "Negative")</f>
        <v>Positive</v>
      </c>
    </row>
    <row r="97" spans="1:11">
      <c r="A97" s="3" t="s">
        <v>57</v>
      </c>
      <c r="B97" s="5">
        <v>45706.49</v>
      </c>
      <c r="C97" s="5">
        <v>6704</v>
      </c>
      <c r="D97" s="5">
        <v>94.2</v>
      </c>
      <c r="E97" s="5">
        <v>2.92</v>
      </c>
      <c r="F97" s="12">
        <v>0</v>
      </c>
      <c r="G97" s="12">
        <v>1</v>
      </c>
      <c r="H97" s="5">
        <v>715097.57</v>
      </c>
      <c r="I97" s="19">
        <f xml:space="preserve"> 147642.16
+ 1.2034 * B97
+ 33.6227 * C97
+ 2893.1764 * D97
- 2862.4094 * E97
+ 11558.4348 * F97
- 244.4477 * G97</f>
        <v>691986.46459799993</v>
      </c>
      <c r="J97" s="12">
        <f>H97-I97</f>
        <v>23111.105402000016</v>
      </c>
      <c r="K97" s="12" t="str">
        <f xml:space="preserve"> IF(J97&gt;0, "Positive", "Negative")</f>
        <v>Positive</v>
      </c>
    </row>
    <row r="98" spans="1:11">
      <c r="A98" s="3" t="s">
        <v>33</v>
      </c>
      <c r="B98" s="5">
        <v>42093.84</v>
      </c>
      <c r="C98" s="5">
        <v>4074</v>
      </c>
      <c r="D98" s="5">
        <v>88</v>
      </c>
      <c r="E98" s="5">
        <v>9.64</v>
      </c>
      <c r="F98" s="12">
        <v>0</v>
      </c>
      <c r="G98" s="12">
        <v>0</v>
      </c>
      <c r="H98" s="5">
        <v>585365.73</v>
      </c>
      <c r="I98" s="19">
        <f xml:space="preserve"> 147642.16
+ 1.2034 * B98
+ 33.6227 * C98
+ 2893.1764 * D98
- 2862.4094 * E98
+ 11558.4348 * F98
- 244.4477 * G98</f>
        <v>562282.66344000003</v>
      </c>
      <c r="J98" s="12">
        <f>H98-I98</f>
        <v>23083.066559999948</v>
      </c>
      <c r="K98" s="12" t="str">
        <f xml:space="preserve"> IF(J98&gt;0, "Positive", "Negative")</f>
        <v>Positive</v>
      </c>
    </row>
    <row r="99" spans="1:11">
      <c r="A99" s="3" t="s">
        <v>76</v>
      </c>
      <c r="B99" s="5">
        <v>33987.33</v>
      </c>
      <c r="C99" s="5">
        <v>5014</v>
      </c>
      <c r="D99" s="5">
        <v>94.3</v>
      </c>
      <c r="E99" s="5">
        <v>10.34</v>
      </c>
      <c r="F99" s="12">
        <v>0</v>
      </c>
      <c r="G99" s="12">
        <v>0</v>
      </c>
      <c r="H99" s="5">
        <v>622892.42000000004</v>
      </c>
      <c r="I99" s="19">
        <f xml:space="preserve"> 147642.16
+ 1.2034 * B99
+ 33.6227 * C99
+ 2893.1764 * D99
- 2862.4094 * E99
+ 11558.4348 * F99
- 244.4477 * G99</f>
        <v>600355.95204600005</v>
      </c>
      <c r="J99" s="12">
        <f>H99-I99</f>
        <v>22536.467953999992</v>
      </c>
      <c r="K99" s="12" t="str">
        <f xml:space="preserve"> IF(J99&gt;0, "Positive", "Negative")</f>
        <v>Positive</v>
      </c>
    </row>
    <row r="100" spans="1:11">
      <c r="A100" s="3" t="s">
        <v>98</v>
      </c>
      <c r="B100" s="5">
        <v>22387.26</v>
      </c>
      <c r="C100" s="5">
        <v>6301</v>
      </c>
      <c r="D100" s="5">
        <v>85.9</v>
      </c>
      <c r="E100" s="5">
        <v>1.17</v>
      </c>
      <c r="F100" s="12">
        <v>1</v>
      </c>
      <c r="G100" s="12">
        <v>0</v>
      </c>
      <c r="H100" s="5">
        <v>665342.49</v>
      </c>
      <c r="I100" s="19">
        <f xml:space="preserve"> 147642.16
+ 1.2034 * B100
+ 33.6227 * C100
+ 2893.1764 * D100
- 2862.4094 * E100
+ 11558.4348 * F100
- 244.4477 * G100</f>
        <v>643172.88994600018</v>
      </c>
      <c r="J100" s="12">
        <f>H100-I100</f>
        <v>22169.600053999806</v>
      </c>
      <c r="K100" s="12" t="str">
        <f xml:space="preserve"> IF(J100&gt;0, "Positive", "Negative")</f>
        <v>Positive</v>
      </c>
    </row>
    <row r="101" spans="1:11">
      <c r="A101" s="3" t="s">
        <v>88</v>
      </c>
      <c r="B101" s="5">
        <v>67722.289999999994</v>
      </c>
      <c r="C101" s="5">
        <v>7240</v>
      </c>
      <c r="D101" s="5">
        <v>92.9</v>
      </c>
      <c r="E101" s="5">
        <v>0.28999999999999998</v>
      </c>
      <c r="F101" s="12">
        <v>0</v>
      </c>
      <c r="G101" s="12">
        <v>1</v>
      </c>
      <c r="H101" s="5">
        <v>762328.31</v>
      </c>
      <c r="I101" s="19">
        <f xml:space="preserve"> 147642.16
+ 1.2034 * B101
+ 33.6227 * C101
+ 2893.1764 * D101
- 2862.4094 * E101
+ 11558.4348 * F101
- 244.4477 * G101</f>
        <v>740269.05291999993</v>
      </c>
      <c r="J101" s="12">
        <f>H101-I101</f>
        <v>22059.257080000127</v>
      </c>
      <c r="K101" s="12" t="str">
        <f xml:space="preserve"> IF(J101&gt;0, "Positive", "Negative")</f>
        <v>Positive</v>
      </c>
    </row>
    <row r="102" spans="1:11">
      <c r="A102" s="3" t="s">
        <v>44</v>
      </c>
      <c r="B102" s="5">
        <v>31207.51</v>
      </c>
      <c r="C102" s="5">
        <v>3701</v>
      </c>
      <c r="D102" s="5">
        <v>84.7</v>
      </c>
      <c r="E102" s="5">
        <v>0.33</v>
      </c>
      <c r="F102" s="12">
        <v>1</v>
      </c>
      <c r="G102" s="12">
        <v>0</v>
      </c>
      <c r="H102" s="5">
        <v>586307.22</v>
      </c>
      <c r="I102" s="19">
        <f xml:space="preserve"> 147642.16
+ 1.2034 * B102
+ 33.6227 * C102
+ 2893.1764 * D102
- 2862.4094 * E102
+ 11558.4348 * F102
- 244.4477 * G102</f>
        <v>565300.77101199992</v>
      </c>
      <c r="J102" s="12">
        <f>H102-I102</f>
        <v>21006.448988000047</v>
      </c>
      <c r="K102" s="12" t="str">
        <f xml:space="preserve"> IF(J102&gt;0, "Positive", "Negative")</f>
        <v>Positive</v>
      </c>
    </row>
    <row r="103" spans="1:11">
      <c r="A103" s="3" t="s">
        <v>100</v>
      </c>
      <c r="B103" s="5">
        <v>66456.28</v>
      </c>
      <c r="C103" s="5">
        <v>9967</v>
      </c>
      <c r="D103" s="5">
        <v>94.7</v>
      </c>
      <c r="E103" s="5">
        <v>4.4800000000000004</v>
      </c>
      <c r="F103" s="12">
        <v>0</v>
      </c>
      <c r="G103" s="12">
        <v>0</v>
      </c>
      <c r="H103" s="5">
        <v>844710.67</v>
      </c>
      <c r="I103" s="19">
        <f xml:space="preserve"> 147642.16
+ 1.2034 * B103
+ 33.6227 * C103
+ 2893.1764 * D103
- 2862.4094 * E103
+ 11558.4348 * F103
- 244.4477 * G103</f>
        <v>823893.30922000017</v>
      </c>
      <c r="J103" s="12">
        <f>H103-I103</f>
        <v>20817.360779999872</v>
      </c>
      <c r="K103" s="12" t="str">
        <f xml:space="preserve"> IF(J103&gt;0, "Positive", "Negative")</f>
        <v>Positive</v>
      </c>
    </row>
    <row r="104" spans="1:11">
      <c r="A104" s="3" t="s">
        <v>85</v>
      </c>
      <c r="B104" s="5">
        <v>81801.8</v>
      </c>
      <c r="C104" s="5">
        <v>6782</v>
      </c>
      <c r="D104" s="5">
        <v>99</v>
      </c>
      <c r="E104" s="5">
        <v>9.5399999999999991</v>
      </c>
      <c r="F104" s="12">
        <v>1</v>
      </c>
      <c r="G104" s="12">
        <v>0</v>
      </c>
      <c r="H104" s="5">
        <v>764949</v>
      </c>
      <c r="I104" s="19">
        <f xml:space="preserve"> 147642.16
+ 1.2034 * B104
+ 33.6227 * C104
+ 2893.1764 * D104
- 2862.4094 * E104
+ 11558.4348 * F104
- 244.4477 * G104</f>
        <v>744787.11024399998</v>
      </c>
      <c r="J104" s="12">
        <f>H104-I104</f>
        <v>20161.889756000019</v>
      </c>
      <c r="K104" s="12" t="str">
        <f xml:space="preserve"> IF(J104&gt;0, "Positive", "Negative")</f>
        <v>Positive</v>
      </c>
    </row>
    <row r="105" spans="1:11">
      <c r="A105" s="3" t="s">
        <v>42</v>
      </c>
      <c r="B105" s="5">
        <v>36475.71</v>
      </c>
      <c r="C105" s="5">
        <v>3559</v>
      </c>
      <c r="D105" s="5">
        <v>83.6</v>
      </c>
      <c r="E105" s="5">
        <v>1.41</v>
      </c>
      <c r="F105" s="12">
        <v>0</v>
      </c>
      <c r="G105" s="12">
        <v>0</v>
      </c>
      <c r="H105" s="5">
        <v>569100.78</v>
      </c>
      <c r="I105" s="19">
        <f xml:space="preserve"> 147642.16
+ 1.2034 * B105
+ 33.6227 * C105
+ 2893.1764 * D105
- 2862.4094 * E105
+ 11558.4348 * F105
- 244.4477 * G105</f>
        <v>549033.76850000001</v>
      </c>
      <c r="J105" s="12">
        <f>H105-I105</f>
        <v>20067.011500000022</v>
      </c>
      <c r="K105" s="12" t="str">
        <f xml:space="preserve"> IF(J105&gt;0, "Positive", "Negative")</f>
        <v>Positive</v>
      </c>
    </row>
    <row r="106" spans="1:11">
      <c r="A106" s="3" t="s">
        <v>87</v>
      </c>
      <c r="B106" s="5">
        <v>14519.37</v>
      </c>
      <c r="C106" s="5">
        <v>3047</v>
      </c>
      <c r="D106" s="5">
        <v>90.3</v>
      </c>
      <c r="E106" s="5">
        <v>6.62</v>
      </c>
      <c r="F106" s="12">
        <v>0</v>
      </c>
      <c r="G106" s="12">
        <v>1</v>
      </c>
      <c r="H106" s="5">
        <v>528852.62</v>
      </c>
      <c r="I106" s="19">
        <f xml:space="preserve"> 147642.16
+ 1.2034 * B106
+ 33.6227 * C106
+ 2893.1764 * D106
- 2862.4094 * E106
+ 11558.4348 * F106
- 244.4477 * G106</f>
        <v>509623.36774999998</v>
      </c>
      <c r="J106" s="12">
        <f>H106-I106</f>
        <v>19229.25225000002</v>
      </c>
      <c r="K106" s="12" t="str">
        <f xml:space="preserve"> IF(J106&gt;0, "Positive", "Negative")</f>
        <v>Positive</v>
      </c>
    </row>
    <row r="107" spans="1:11">
      <c r="A107" s="3" t="s">
        <v>79</v>
      </c>
      <c r="B107" s="5">
        <v>25818.080000000002</v>
      </c>
      <c r="C107" s="5">
        <v>5457</v>
      </c>
      <c r="D107" s="5">
        <v>95.4</v>
      </c>
      <c r="E107" s="5">
        <v>3.37</v>
      </c>
      <c r="F107" s="12">
        <v>0</v>
      </c>
      <c r="G107" s="12">
        <v>1</v>
      </c>
      <c r="H107" s="5">
        <v>647512.85</v>
      </c>
      <c r="I107" s="19">
        <f xml:space="preserve"> 147642.16
+ 1.2034 * B107
+ 33.6227 * C107
+ 2893.1764 * D107
- 2862.4094 * E107
+ 11558.4348 * F107
- 244.4477 * G107</f>
        <v>628308.97255399998</v>
      </c>
      <c r="J107" s="12">
        <f>H107-I107</f>
        <v>19203.877445999999</v>
      </c>
      <c r="K107" s="12" t="str">
        <f xml:space="preserve"> IF(J107&gt;0, "Positive", "Negative")</f>
        <v>Positive</v>
      </c>
    </row>
    <row r="108" spans="1:11">
      <c r="A108" s="3" t="s">
        <v>91</v>
      </c>
      <c r="B108" s="5">
        <v>36832.33</v>
      </c>
      <c r="C108" s="5">
        <v>8001</v>
      </c>
      <c r="D108" s="5">
        <v>88.7</v>
      </c>
      <c r="E108" s="5">
        <v>3.39</v>
      </c>
      <c r="F108" s="12">
        <v>1</v>
      </c>
      <c r="G108" s="12">
        <v>0</v>
      </c>
      <c r="H108" s="5">
        <v>738548.42</v>
      </c>
      <c r="I108" s="19">
        <f xml:space="preserve"> 147642.16
+ 1.2034 * B108
+ 33.6227 * C108
+ 2893.1764 * D108
- 2862.4094 * E108
+ 11558.4348 * F108
- 244.4477 * G108</f>
        <v>719461.02223600005</v>
      </c>
      <c r="J108" s="12">
        <f>H108-I108</f>
        <v>19087.397763999994</v>
      </c>
      <c r="K108" s="12" t="str">
        <f xml:space="preserve"> IF(J108&gt;0, "Positive", "Negative")</f>
        <v>Positive</v>
      </c>
    </row>
    <row r="109" spans="1:11">
      <c r="A109" s="3" t="s">
        <v>59</v>
      </c>
      <c r="B109" s="5">
        <v>71855.09</v>
      </c>
      <c r="C109" s="5">
        <v>5911</v>
      </c>
      <c r="D109" s="5">
        <v>94.3</v>
      </c>
      <c r="E109" s="5">
        <v>3.55</v>
      </c>
      <c r="F109" s="12">
        <v>1</v>
      </c>
      <c r="G109" s="12">
        <v>0</v>
      </c>
      <c r="H109" s="5">
        <v>725847.99</v>
      </c>
      <c r="I109" s="19">
        <f xml:space="preserve"> 147642.16
+ 1.2034 * B109
+ 33.6227 * C109
+ 2893.1764 * D109
- 2862.4094 * E109
+ 11558.4348 * F109
- 244.4477 * G109</f>
        <v>707079.77095600008</v>
      </c>
      <c r="J109" s="12">
        <f>H109-I109</f>
        <v>18768.21904399991</v>
      </c>
      <c r="K109" s="12" t="str">
        <f xml:space="preserve"> IF(J109&gt;0, "Positive", "Negative")</f>
        <v>Positive</v>
      </c>
    </row>
    <row r="110" spans="1:11">
      <c r="A110" s="3" t="s">
        <v>95</v>
      </c>
      <c r="B110" s="5">
        <v>59825.51</v>
      </c>
      <c r="C110" s="5">
        <v>1231</v>
      </c>
      <c r="D110" s="5">
        <v>84.8</v>
      </c>
      <c r="E110" s="5">
        <v>8.9600000000000009</v>
      </c>
      <c r="F110" s="12">
        <v>0</v>
      </c>
      <c r="G110" s="12">
        <v>1</v>
      </c>
      <c r="H110" s="5">
        <v>498970.32</v>
      </c>
      <c r="I110" s="19">
        <f xml:space="preserve"> 147642.16
+ 1.2034 * B110
+ 33.6227 * C110
+ 2893.1764 * D110
- 2862.4094 * E110
+ 11558.4348 * F110
- 244.4477 * G110</f>
        <v>480475.44523000001</v>
      </c>
      <c r="J110" s="12">
        <f>H110-I110</f>
        <v>18494.874769999995</v>
      </c>
      <c r="K110" s="12" t="str">
        <f xml:space="preserve"> IF(J110&gt;0, "Positive", "Negative")</f>
        <v>Positive</v>
      </c>
    </row>
    <row r="111" spans="1:11">
      <c r="A111" s="3" t="s">
        <v>86</v>
      </c>
      <c r="B111" s="5">
        <v>28670.43</v>
      </c>
      <c r="C111" s="5">
        <v>7574</v>
      </c>
      <c r="D111" s="5">
        <v>82.7</v>
      </c>
      <c r="E111" s="5">
        <v>2.74</v>
      </c>
      <c r="F111" s="12">
        <v>1</v>
      </c>
      <c r="G111" s="12">
        <v>0</v>
      </c>
      <c r="H111" s="5">
        <v>697888.09</v>
      </c>
      <c r="I111" s="19">
        <f xml:space="preserve"> 147642.16
+ 1.2034 * B111
+ 33.6227 * C111
+ 2893.1764 * D111
- 2862.4094 * E111
+ 11558.4348 * F111
- 244.4477 * G111</f>
        <v>679783.60658600007</v>
      </c>
      <c r="J111" s="12">
        <f>H111-I111</f>
        <v>18104.4834139999</v>
      </c>
      <c r="K111" s="12" t="str">
        <f xml:space="preserve"> IF(J111&gt;0, "Positive", "Negative")</f>
        <v>Positive</v>
      </c>
    </row>
    <row r="112" spans="1:11">
      <c r="A112" s="3" t="s">
        <v>95</v>
      </c>
      <c r="B112" s="5">
        <v>27398.28</v>
      </c>
      <c r="C112" s="5">
        <v>1723</v>
      </c>
      <c r="D112" s="5">
        <v>81</v>
      </c>
      <c r="E112" s="5">
        <v>0.74</v>
      </c>
      <c r="F112" s="12">
        <v>0</v>
      </c>
      <c r="G112" s="12">
        <v>1</v>
      </c>
      <c r="H112" s="5">
        <v>487738.26</v>
      </c>
      <c r="I112" s="19">
        <f xml:space="preserve"> 147642.16
+ 1.2034 * B112
+ 33.6227 * C112
+ 2893.1764 * D112
- 2862.4094 * E112
+ 11558.4348 * F112
- 244.4477 * G112</f>
        <v>470529.81999600003</v>
      </c>
      <c r="J112" s="12">
        <f>H112-I112</f>
        <v>17208.440003999975</v>
      </c>
      <c r="K112" s="12" t="str">
        <f xml:space="preserve"> IF(J112&gt;0, "Positive", "Negative")</f>
        <v>Positive</v>
      </c>
    </row>
    <row r="113" spans="1:11">
      <c r="A113" s="3" t="s">
        <v>49</v>
      </c>
      <c r="B113" s="5">
        <v>69411.7</v>
      </c>
      <c r="C113" s="5">
        <v>5493</v>
      </c>
      <c r="D113" s="5">
        <v>86.5</v>
      </c>
      <c r="E113" s="5">
        <v>6.69</v>
      </c>
      <c r="F113" s="12">
        <v>0</v>
      </c>
      <c r="G113" s="12">
        <v>0</v>
      </c>
      <c r="H113" s="5">
        <v>664162.49</v>
      </c>
      <c r="I113" s="19">
        <f xml:space="preserve"> 147642.16
+ 1.2034 * B113
+ 33.6227 * C113
+ 2893.1764 * D113
- 2862.4094 * E113
+ 11558.4348 * F113
- 244.4477 * G113</f>
        <v>646971.93059399992</v>
      </c>
      <c r="J113" s="12">
        <f>H113-I113</f>
        <v>17190.559406000073</v>
      </c>
      <c r="K113" s="12" t="str">
        <f xml:space="preserve"> IF(J113&gt;0, "Positive", "Negative")</f>
        <v>Positive</v>
      </c>
    </row>
    <row r="114" spans="1:11">
      <c r="A114" s="3" t="s">
        <v>100</v>
      </c>
      <c r="B114" s="5">
        <v>62507.16</v>
      </c>
      <c r="C114" s="5">
        <v>6000</v>
      </c>
      <c r="D114" s="5">
        <v>98.2</v>
      </c>
      <c r="E114" s="5">
        <v>4.38</v>
      </c>
      <c r="F114" s="12">
        <v>0</v>
      </c>
      <c r="G114" s="12">
        <v>0</v>
      </c>
      <c r="H114" s="5">
        <v>712375.77</v>
      </c>
      <c r="I114" s="19">
        <f xml:space="preserve"> 147642.16
+ 1.2034 * B114
+ 33.6227 * C114
+ 2893.1764 * D114
- 2862.4094 * E114
+ 11558.4348 * F114
- 244.4477 * G114</f>
        <v>696172.045652</v>
      </c>
      <c r="J114" s="12">
        <f>H114-I114</f>
        <v>16203.724348000018</v>
      </c>
      <c r="K114" s="12" t="str">
        <f xml:space="preserve"> IF(J114&gt;0, "Positive", "Negative")</f>
        <v>Positive</v>
      </c>
    </row>
    <row r="115" spans="1:11">
      <c r="A115" s="3" t="s">
        <v>32</v>
      </c>
      <c r="B115" s="5">
        <v>64882.14</v>
      </c>
      <c r="C115" s="5">
        <v>3642</v>
      </c>
      <c r="D115" s="5">
        <v>87.8</v>
      </c>
      <c r="E115" s="5">
        <v>4.5199999999999996</v>
      </c>
      <c r="F115" s="12">
        <v>0</v>
      </c>
      <c r="G115" s="12">
        <v>0</v>
      </c>
      <c r="H115" s="5">
        <v>605178</v>
      </c>
      <c r="I115" s="19">
        <f xml:space="preserve"> 147642.16
+ 1.2034 * B115
+ 33.6227 * C115
+ 2893.1764 * D115
- 2862.4094 * E115
+ 11558.4348 * F115
- 244.4477 * G115</f>
        <v>589257.99810800003</v>
      </c>
      <c r="J115" s="12">
        <f>H115-I115</f>
        <v>15920.001891999971</v>
      </c>
      <c r="K115" s="12" t="str">
        <f xml:space="preserve"> IF(J115&gt;0, "Positive", "Negative")</f>
        <v>Positive</v>
      </c>
    </row>
    <row r="116" spans="1:11">
      <c r="A116" s="3" t="s">
        <v>81</v>
      </c>
      <c r="B116" s="5">
        <v>26248.1</v>
      </c>
      <c r="C116" s="5">
        <v>9314</v>
      </c>
      <c r="D116" s="5">
        <v>83.7</v>
      </c>
      <c r="E116" s="5">
        <v>4.62</v>
      </c>
      <c r="F116" s="12">
        <v>0</v>
      </c>
      <c r="G116" s="12">
        <v>0</v>
      </c>
      <c r="H116" s="5">
        <v>737070.18</v>
      </c>
      <c r="I116" s="19">
        <f xml:space="preserve"> 147642.16
+ 1.2034 * B116
+ 33.6227 * C116
+ 2893.1764 * D116
- 2862.4094 * E116
+ 11558.4348 * F116
- 244.4477 * G116</f>
        <v>721325.48459200002</v>
      </c>
      <c r="J116" s="12">
        <f>H116-I116</f>
        <v>15744.695408000029</v>
      </c>
      <c r="K116" s="12" t="str">
        <f xml:space="preserve"> IF(J116&gt;0, "Positive", "Negative")</f>
        <v>Positive</v>
      </c>
    </row>
    <row r="117" spans="1:11">
      <c r="A117" s="3" t="s">
        <v>90</v>
      </c>
      <c r="B117" s="5">
        <v>50532.17</v>
      </c>
      <c r="C117" s="5">
        <v>5689</v>
      </c>
      <c r="D117" s="5">
        <v>85.6</v>
      </c>
      <c r="E117" s="5">
        <v>6.23</v>
      </c>
      <c r="F117" s="12">
        <v>0</v>
      </c>
      <c r="G117" s="12">
        <v>1</v>
      </c>
      <c r="H117" s="5">
        <v>645039.97</v>
      </c>
      <c r="I117" s="19">
        <f xml:space="preserve"> 147642.16
+ 1.2034 * B117
+ 33.6227 * C117
+ 2893.1764 * D117
- 2862.4094 * E117
+ 11558.4348 * F117
- 244.4477 * G117</f>
        <v>629310.75525599997</v>
      </c>
      <c r="J117" s="12">
        <f>H117-I117</f>
        <v>15729.214743999997</v>
      </c>
      <c r="K117" s="12" t="str">
        <f xml:space="preserve"> IF(J117&gt;0, "Positive", "Negative")</f>
        <v>Positive</v>
      </c>
    </row>
    <row r="118" spans="1:11">
      <c r="A118" s="3" t="s">
        <v>59</v>
      </c>
      <c r="B118" s="5">
        <v>51575.68</v>
      </c>
      <c r="C118" s="5">
        <v>5329</v>
      </c>
      <c r="D118" s="5">
        <v>88.1</v>
      </c>
      <c r="E118" s="5">
        <v>19.78</v>
      </c>
      <c r="F118" s="12">
        <v>1</v>
      </c>
      <c r="G118" s="12">
        <v>0</v>
      </c>
      <c r="H118" s="5">
        <v>614024.91</v>
      </c>
      <c r="I118" s="19">
        <f xml:space="preserve"> 147642.16
+ 1.2034 * B118
+ 33.6227 * C118
+ 2893.1764 * D118
- 2862.4094 * E118
+ 11558.4348 * F118
- 244.4477 * G118</f>
        <v>598712.51931999996</v>
      </c>
      <c r="J118" s="12">
        <f>H118-I118</f>
        <v>15312.39068000007</v>
      </c>
      <c r="K118" s="12" t="str">
        <f xml:space="preserve"> IF(J118&gt;0, "Positive", "Negative")</f>
        <v>Positive</v>
      </c>
    </row>
    <row r="119" spans="1:11">
      <c r="A119" s="3" t="s">
        <v>88</v>
      </c>
      <c r="B119" s="5">
        <v>73454.539999999994</v>
      </c>
      <c r="C119" s="5">
        <v>8129</v>
      </c>
      <c r="D119" s="5">
        <v>85.2</v>
      </c>
      <c r="E119" s="5">
        <v>0.88</v>
      </c>
      <c r="F119" s="12">
        <v>0</v>
      </c>
      <c r="G119" s="12">
        <v>1</v>
      </c>
      <c r="H119" s="5">
        <v>767792.94</v>
      </c>
      <c r="I119" s="19">
        <f xml:space="preserve"> 147642.16
+ 1.2034 * B119
+ 33.6227 * C119
+ 2893.1764 * D119
- 2862.4094 * E119
+ 11558.4348 * F119
- 244.4477 * G119</f>
        <v>753091.54304399993</v>
      </c>
      <c r="J119" s="12">
        <f>H119-I119</f>
        <v>14701.396956000011</v>
      </c>
      <c r="K119" s="12" t="str">
        <f xml:space="preserve"> IF(J119&gt;0, "Positive", "Negative")</f>
        <v>Positive</v>
      </c>
    </row>
    <row r="120" spans="1:11">
      <c r="A120" s="3" t="s">
        <v>92</v>
      </c>
      <c r="B120" s="5">
        <v>66104.19</v>
      </c>
      <c r="C120" s="5">
        <v>5745</v>
      </c>
      <c r="D120" s="5">
        <v>95.8</v>
      </c>
      <c r="E120" s="5">
        <v>3.15</v>
      </c>
      <c r="F120" s="12">
        <v>1</v>
      </c>
      <c r="G120" s="12">
        <v>1</v>
      </c>
      <c r="H120" s="5">
        <v>714083.68</v>
      </c>
      <c r="I120" s="19">
        <f xml:space="preserve"> 147642.16
+ 1.2034 * B120
+ 33.6227 * C120
+ 2893.1764 * D120
- 2862.4094 * E120
+ 11558.4348 * F120
- 244.4477 * G120</f>
        <v>699818.05035599996</v>
      </c>
      <c r="J120" s="12">
        <f>H120-I120</f>
        <v>14265.629644000088</v>
      </c>
      <c r="K120" s="12" t="str">
        <f xml:space="preserve"> IF(J120&gt;0, "Positive", "Negative")</f>
        <v>Positive</v>
      </c>
    </row>
    <row r="121" spans="1:11">
      <c r="A121" s="3" t="s">
        <v>98</v>
      </c>
      <c r="B121" s="5">
        <v>54948.02</v>
      </c>
      <c r="C121" s="5">
        <v>6534</v>
      </c>
      <c r="D121" s="5">
        <v>94.5</v>
      </c>
      <c r="E121" s="5">
        <v>1.56</v>
      </c>
      <c r="F121" s="12">
        <v>1</v>
      </c>
      <c r="G121" s="12">
        <v>0</v>
      </c>
      <c r="H121" s="5">
        <v>727957.48</v>
      </c>
      <c r="I121" s="19">
        <f xml:space="preserve"> 147642.16
+ 1.2034 * B121
+ 33.6227 * C121
+ 2893.1764 * D121
- 2862.4094 * E121
+ 11558.4348 * F121
- 244.4477 * G121</f>
        <v>713955.57500399998</v>
      </c>
      <c r="J121" s="12">
        <f>H121-I121</f>
        <v>14001.904995999997</v>
      </c>
      <c r="K121" s="12" t="str">
        <f xml:space="preserve"> IF(J121&gt;0, "Positive", "Negative")</f>
        <v>Positive</v>
      </c>
    </row>
    <row r="122" spans="1:11">
      <c r="A122" s="3" t="s">
        <v>32</v>
      </c>
      <c r="B122" s="5">
        <v>40462.94</v>
      </c>
      <c r="C122" s="5">
        <v>3660</v>
      </c>
      <c r="D122" s="5">
        <v>95.2</v>
      </c>
      <c r="E122" s="5">
        <v>5.57</v>
      </c>
      <c r="F122" s="12">
        <v>0</v>
      </c>
      <c r="G122" s="12">
        <v>0</v>
      </c>
      <c r="H122" s="5">
        <v>592195.85</v>
      </c>
      <c r="I122" s="19">
        <f xml:space="preserve"> 147642.16
+ 1.2034 * B122
+ 33.6227 * C122
+ 2893.1764 * D122
- 2862.4094 * E122
+ 11558.4348 * F122
- 244.4477 * G122</f>
        <v>578881.11691799993</v>
      </c>
      <c r="J122" s="12">
        <f>H122-I122</f>
        <v>13314.73308200005</v>
      </c>
      <c r="K122" s="12" t="str">
        <f xml:space="preserve"> IF(J122&gt;0, "Positive", "Negative")</f>
        <v>Positive</v>
      </c>
    </row>
    <row r="123" spans="1:11">
      <c r="A123" s="3" t="s">
        <v>88</v>
      </c>
      <c r="B123" s="5">
        <v>56602.39</v>
      </c>
      <c r="C123" s="5">
        <v>7969</v>
      </c>
      <c r="D123" s="5">
        <v>88.3</v>
      </c>
      <c r="E123" s="5">
        <v>2.25</v>
      </c>
      <c r="F123" s="12">
        <v>0</v>
      </c>
      <c r="G123" s="12">
        <v>1</v>
      </c>
      <c r="H123" s="5">
        <v>745580.51</v>
      </c>
      <c r="I123" s="19">
        <f xml:space="preserve"> 147642.16
+ 1.2034 * B123
+ 33.6227 * C123
+ 2893.1764 * D123
- 2862.4094 * E123
+ 11558.4348 * F123
- 244.4477 * G123</f>
        <v>732479.37969600002</v>
      </c>
      <c r="J123" s="12">
        <f>H123-I123</f>
        <v>13101.130303999991</v>
      </c>
      <c r="K123" s="12" t="str">
        <f xml:space="preserve"> IF(J123&gt;0, "Positive", "Negative")</f>
        <v>Positive</v>
      </c>
    </row>
    <row r="124" spans="1:11">
      <c r="A124" s="3" t="s">
        <v>76</v>
      </c>
      <c r="B124" s="5">
        <v>16451.849999999999</v>
      </c>
      <c r="C124" s="5">
        <v>4678</v>
      </c>
      <c r="D124" s="5">
        <v>95.9</v>
      </c>
      <c r="E124" s="5">
        <v>3.1</v>
      </c>
      <c r="F124" s="12">
        <v>0</v>
      </c>
      <c r="G124" s="12">
        <v>0</v>
      </c>
      <c r="H124" s="5">
        <v>606278.30000000005</v>
      </c>
      <c r="I124" s="19">
        <f xml:space="preserve"> 147642.16
+ 1.2034 * B124
+ 33.6227 * C124
+ 2893.1764 * D124
- 2862.4094 * E124
+ 11558.4348 * F124
- 244.4477 * G124</f>
        <v>593309.45451000007</v>
      </c>
      <c r="J124" s="12">
        <f>H124-I124</f>
        <v>12968.845489999978</v>
      </c>
      <c r="K124" s="12" t="str">
        <f xml:space="preserve"> IF(J124&gt;0, "Positive", "Negative")</f>
        <v>Positive</v>
      </c>
    </row>
    <row r="125" spans="1:11">
      <c r="A125" s="3" t="s">
        <v>54</v>
      </c>
      <c r="B125" s="5">
        <v>66250.53</v>
      </c>
      <c r="C125" s="5">
        <v>10618</v>
      </c>
      <c r="D125" s="5">
        <v>88.3</v>
      </c>
      <c r="E125" s="5">
        <v>1.1000000000000001</v>
      </c>
      <c r="F125" s="12">
        <v>0</v>
      </c>
      <c r="G125" s="12">
        <v>1</v>
      </c>
      <c r="H125" s="5">
        <v>849018.3</v>
      </c>
      <c r="I125" s="19">
        <f xml:space="preserve"> 147642.16
+ 1.2034 * B125
+ 33.6227 * C125
+ 2893.1764 * D125
- 2862.4094 * E125
+ 11558.4348 * F125
- 244.4477 * G125</f>
        <v>836448.2544819999</v>
      </c>
      <c r="J125" s="12">
        <f>H125-I125</f>
        <v>12570.045518000145</v>
      </c>
      <c r="K125" s="12" t="str">
        <f xml:space="preserve"> IF(J125&gt;0, "Positive", "Negative")</f>
        <v>Positive</v>
      </c>
    </row>
    <row r="126" spans="1:11">
      <c r="A126" s="3" t="s">
        <v>25</v>
      </c>
      <c r="B126" s="5">
        <v>42267.37</v>
      </c>
      <c r="C126" s="5">
        <v>3364</v>
      </c>
      <c r="D126" s="5">
        <v>82</v>
      </c>
      <c r="E126" s="5">
        <v>1.61</v>
      </c>
      <c r="F126" s="12">
        <v>0</v>
      </c>
      <c r="G126" s="12">
        <v>0</v>
      </c>
      <c r="H126" s="5">
        <v>555929.4</v>
      </c>
      <c r="I126" s="19">
        <f xml:space="preserve"> 147642.16
+ 1.2034 * B126
+ 33.6227 * C126
+ 2893.1764 * D126
- 2862.4094 * E126
+ 11558.4348 * F126
- 244.4477 * G126</f>
        <v>544245.46152400004</v>
      </c>
      <c r="J126" s="12">
        <f>H126-I126</f>
        <v>11683.938475999981</v>
      </c>
      <c r="K126" s="12" t="str">
        <f xml:space="preserve"> IF(J126&gt;0, "Positive", "Negative")</f>
        <v>Positive</v>
      </c>
    </row>
    <row r="127" spans="1:11">
      <c r="A127" s="3" t="s">
        <v>77</v>
      </c>
      <c r="B127" s="5">
        <v>53367.73</v>
      </c>
      <c r="C127" s="5">
        <v>7291</v>
      </c>
      <c r="D127" s="5">
        <v>90.6</v>
      </c>
      <c r="E127" s="5">
        <v>6.34</v>
      </c>
      <c r="F127" s="12">
        <v>0</v>
      </c>
      <c r="G127" s="12">
        <v>1</v>
      </c>
      <c r="H127" s="5">
        <v>712219.81</v>
      </c>
      <c r="I127" s="19">
        <f xml:space="preserve"> 147642.16
+ 1.2034 * B127
+ 33.6227 * C127
+ 2893.1764 * D127
- 2862.4094 * E127
+ 11558.4348 * F127
- 244.4477 * G127</f>
        <v>700737.65052599995</v>
      </c>
      <c r="J127" s="12">
        <f>H127-I127</f>
        <v>11482.159474000102</v>
      </c>
      <c r="K127" s="12" t="str">
        <f xml:space="preserve"> IF(J127&gt;0, "Positive", "Negative")</f>
        <v>Positive</v>
      </c>
    </row>
    <row r="128" spans="1:11">
      <c r="A128" s="3" t="s">
        <v>84</v>
      </c>
      <c r="B128" s="5">
        <v>40923.67</v>
      </c>
      <c r="C128" s="5">
        <v>3875</v>
      </c>
      <c r="D128" s="5">
        <v>96.1</v>
      </c>
      <c r="E128" s="5">
        <v>3.37</v>
      </c>
      <c r="F128" s="12">
        <v>0</v>
      </c>
      <c r="G128" s="12">
        <v>1</v>
      </c>
      <c r="H128" s="5">
        <v>606783.67000000004</v>
      </c>
      <c r="I128" s="19">
        <f xml:space="preserve"> 147642.16
+ 1.2034 * B128
+ 33.6227 * C128
+ 2893.1764 * D128
- 2862.4094 * E128
+ 11558.4348 * F128
- 244.4477 * G128</f>
        <v>595321.15163999994</v>
      </c>
      <c r="J128" s="12">
        <f>H128-I128</f>
        <v>11462.518360000104</v>
      </c>
      <c r="K128" s="12" t="str">
        <f xml:space="preserve"> IF(J128&gt;0, "Positive", "Negative")</f>
        <v>Positive</v>
      </c>
    </row>
    <row r="129" spans="1:11">
      <c r="A129" s="3" t="s">
        <v>94</v>
      </c>
      <c r="B129" s="5">
        <v>70012.41</v>
      </c>
      <c r="C129" s="5">
        <v>8484</v>
      </c>
      <c r="D129" s="5">
        <v>72.900000000000006</v>
      </c>
      <c r="E129" s="5">
        <v>3.34</v>
      </c>
      <c r="F129" s="12">
        <v>0</v>
      </c>
      <c r="G129" s="12">
        <v>0</v>
      </c>
      <c r="H129" s="5">
        <v>729424.42</v>
      </c>
      <c r="I129" s="19">
        <f xml:space="preserve"> 147642.16
+ 1.2034 * B129
+ 33.6227 * C129
+ 2893.1764 * D129
- 2862.4094 * E129
+ 11558.4348 * F129
- 244.4477 * G129</f>
        <v>718502.19315800001</v>
      </c>
      <c r="J129" s="12">
        <f>H129-I129</f>
        <v>10922.226842000033</v>
      </c>
      <c r="K129" s="12" t="str">
        <f xml:space="preserve"> IF(J129&gt;0, "Positive", "Negative")</f>
        <v>Positive</v>
      </c>
    </row>
    <row r="130" spans="1:11">
      <c r="A130" s="3" t="s">
        <v>74</v>
      </c>
      <c r="B130" s="5">
        <v>49405.75</v>
      </c>
      <c r="C130" s="5">
        <v>9752</v>
      </c>
      <c r="D130" s="5">
        <v>87</v>
      </c>
      <c r="E130" s="5">
        <v>12.28</v>
      </c>
      <c r="F130" s="12">
        <v>0</v>
      </c>
      <c r="G130" s="12">
        <v>1</v>
      </c>
      <c r="H130" s="5">
        <v>761963.23</v>
      </c>
      <c r="I130" s="19">
        <f xml:space="preserve"> 147642.16
+ 1.2034 * B130
+ 33.6227 * C130
+ 2893.1764 * D130
- 2862.4094 * E130
+ 11558.4348 * F130
- 244.4477 * G130</f>
        <v>751297.12161799986</v>
      </c>
      <c r="J130" s="12">
        <f>H130-I130</f>
        <v>10666.108382000122</v>
      </c>
      <c r="K130" s="12" t="str">
        <f xml:space="preserve"> IF(J130&gt;0, "Positive", "Negative")</f>
        <v>Positive</v>
      </c>
    </row>
    <row r="131" spans="1:11">
      <c r="A131" s="3" t="s">
        <v>59</v>
      </c>
      <c r="B131" s="5">
        <v>43319.94</v>
      </c>
      <c r="C131" s="5">
        <v>6551</v>
      </c>
      <c r="D131" s="5">
        <v>99</v>
      </c>
      <c r="E131" s="5">
        <v>5.45</v>
      </c>
      <c r="F131" s="12">
        <v>1</v>
      </c>
      <c r="G131" s="12">
        <v>0</v>
      </c>
      <c r="H131" s="5">
        <v>712868.35</v>
      </c>
      <c r="I131" s="19">
        <f xml:space="preserve"> 147642.16
+ 1.2034 * B131
+ 33.6227 * C131
+ 2893.1764 * D131
- 2862.4094 * E131
+ 11558.4348 * F131
- 244.4477 * G131</f>
        <v>702418.4506659999</v>
      </c>
      <c r="J131" s="12">
        <f>H131-I131</f>
        <v>10449.899334000074</v>
      </c>
      <c r="K131" s="12" t="str">
        <f xml:space="preserve"> IF(J131&gt;0, "Positive", "Negative")</f>
        <v>Positive</v>
      </c>
    </row>
    <row r="132" spans="1:11">
      <c r="A132" s="3" t="s">
        <v>22</v>
      </c>
      <c r="B132" s="5">
        <v>75305.710000000006</v>
      </c>
      <c r="C132" s="5">
        <v>10940</v>
      </c>
      <c r="D132" s="5">
        <v>76.5</v>
      </c>
      <c r="E132" s="5">
        <v>1.32</v>
      </c>
      <c r="F132" s="12">
        <v>0</v>
      </c>
      <c r="G132" s="12">
        <v>0</v>
      </c>
      <c r="H132" s="5">
        <v>834017.02</v>
      </c>
      <c r="I132" s="19">
        <f xml:space="preserve"> 147642.16
+ 1.2034 * B132
+ 33.6227 * C132
+ 2893.1764 * D132
- 2862.4094 * E132
+ 11558.4348 * F132
- 244.4477 * G132</f>
        <v>823647.0036060001</v>
      </c>
      <c r="J132" s="12">
        <f>H132-I132</f>
        <v>10370.016393999918</v>
      </c>
      <c r="K132" s="12" t="str">
        <f xml:space="preserve"> IF(J132&gt;0, "Positive", "Negative")</f>
        <v>Positive</v>
      </c>
    </row>
    <row r="133" spans="1:11">
      <c r="A133" s="3" t="s">
        <v>78</v>
      </c>
      <c r="B133" s="5">
        <v>57225.98</v>
      </c>
      <c r="C133" s="5">
        <v>2842</v>
      </c>
      <c r="D133" s="5">
        <v>79.5</v>
      </c>
      <c r="E133" s="5">
        <v>5.45</v>
      </c>
      <c r="F133" s="12">
        <v>0</v>
      </c>
      <c r="G133" s="12">
        <v>0</v>
      </c>
      <c r="H133" s="5">
        <v>536545.49</v>
      </c>
      <c r="I133" s="19">
        <f xml:space="preserve"> 147642.16
+ 1.2034 * B133
+ 33.6227 * C133
+ 2893.1764 * D133
- 2862.4094 * E133
+ 11558.4348 * F133
- 244.4477 * G133</f>
        <v>526471.01030199998</v>
      </c>
      <c r="J133" s="12">
        <f>H133-I133</f>
        <v>10074.47969800001</v>
      </c>
      <c r="K133" s="12" t="str">
        <f xml:space="preserve"> IF(J133&gt;0, "Positive", "Negative")</f>
        <v>Positive</v>
      </c>
    </row>
    <row r="134" spans="1:11">
      <c r="A134" s="3" t="s">
        <v>84</v>
      </c>
      <c r="B134" s="5">
        <v>97480.94</v>
      </c>
      <c r="C134" s="5">
        <v>6840</v>
      </c>
      <c r="D134" s="5">
        <v>79.2</v>
      </c>
      <c r="E134" s="5">
        <v>1.1399999999999999</v>
      </c>
      <c r="F134" s="12">
        <v>0</v>
      </c>
      <c r="G134" s="12">
        <v>1</v>
      </c>
      <c r="H134" s="5">
        <v>729440.45</v>
      </c>
      <c r="I134" s="19">
        <f xml:space="preserve"> 147642.16
+ 1.2034 * B134
+ 33.6227 * C134
+ 2893.1764 * D134
- 2862.4094 * E134
+ 11558.4348 * F134
- 244.4477 * G134</f>
        <v>720561.96765999997</v>
      </c>
      <c r="J134" s="12">
        <f>H134-I134</f>
        <v>8878.4823399999877</v>
      </c>
      <c r="K134" s="12" t="str">
        <f xml:space="preserve"> IF(J134&gt;0, "Positive", "Negative")</f>
        <v>Positive</v>
      </c>
    </row>
    <row r="135" spans="1:11">
      <c r="A135" s="3" t="s">
        <v>67</v>
      </c>
      <c r="B135" s="5">
        <v>68491.11</v>
      </c>
      <c r="C135" s="5">
        <v>11154</v>
      </c>
      <c r="D135" s="5">
        <v>89.4</v>
      </c>
      <c r="E135" s="5">
        <v>5.27</v>
      </c>
      <c r="F135" s="12">
        <v>0</v>
      </c>
      <c r="G135" s="12">
        <v>0</v>
      </c>
      <c r="H135" s="5">
        <v>855341.28</v>
      </c>
      <c r="I135" s="19">
        <f xml:space="preserve"> 147642.16
+ 1.2034 * B135
+ 33.6227 * C135
+ 2893.1764 * D135
- 2862.4094 * E135
+ 11558.4348 * F135
- 244.4477 * G135</f>
        <v>848657.03019600001</v>
      </c>
      <c r="J135" s="12">
        <f>H135-I135</f>
        <v>6684.249804000021</v>
      </c>
      <c r="K135" s="12" t="str">
        <f xml:space="preserve"> IF(J135&gt;0, "Positive", "Negative")</f>
        <v>Positive</v>
      </c>
    </row>
    <row r="136" spans="1:11">
      <c r="A136" s="3" t="s">
        <v>95</v>
      </c>
      <c r="B136" s="5">
        <v>40102.879999999997</v>
      </c>
      <c r="C136" s="5">
        <v>2358</v>
      </c>
      <c r="D136" s="5">
        <v>88.7</v>
      </c>
      <c r="E136" s="5">
        <v>1.6</v>
      </c>
      <c r="F136" s="12">
        <v>0</v>
      </c>
      <c r="G136" s="12">
        <v>1</v>
      </c>
      <c r="H136" s="5">
        <v>533121.26</v>
      </c>
      <c r="I136" s="19">
        <f xml:space="preserve"> 147642.16
+ 1.2034 * B136
+ 33.6227 * C136
+ 2893.1764 * D136
- 2862.4094 * E136
+ 11558.4348 * F136
- 244.4477 * G136</f>
        <v>526984.73633199988</v>
      </c>
      <c r="J136" s="12">
        <f>H136-I136</f>
        <v>6136.5236680001253</v>
      </c>
      <c r="K136" s="12" t="str">
        <f xml:space="preserve"> IF(J136&gt;0, "Positive", "Negative")</f>
        <v>Positive</v>
      </c>
    </row>
    <row r="137" spans="1:11">
      <c r="A137" s="3" t="s">
        <v>75</v>
      </c>
      <c r="B137" s="5">
        <v>47391.09</v>
      </c>
      <c r="C137" s="5">
        <v>11224</v>
      </c>
      <c r="D137" s="5">
        <v>88.4</v>
      </c>
      <c r="E137" s="5">
        <v>2.44</v>
      </c>
      <c r="F137" s="12">
        <v>0</v>
      </c>
      <c r="G137" s="12">
        <v>0</v>
      </c>
      <c r="H137" s="5">
        <v>836908.24</v>
      </c>
      <c r="I137" s="19">
        <f xml:space="preserve"> 147642.16
+ 1.2034 * B137
+ 33.6227 * C137
+ 2893.1764 * D137
- 2862.4094 * E137
+ 11558.4348 * F137
- 244.4477 * G137</f>
        <v>830826.29733000009</v>
      </c>
      <c r="J137" s="12">
        <f>H137-I137</f>
        <v>6081.9426699999021</v>
      </c>
      <c r="K137" s="12" t="str">
        <f xml:space="preserve"> IF(J137&gt;0, "Positive", "Negative")</f>
        <v>Positive</v>
      </c>
    </row>
    <row r="138" spans="1:11">
      <c r="A138" s="3" t="s">
        <v>32</v>
      </c>
      <c r="B138" s="5">
        <v>46123.88</v>
      </c>
      <c r="C138" s="5">
        <v>3227</v>
      </c>
      <c r="D138" s="5">
        <v>75.400000000000006</v>
      </c>
      <c r="E138" s="5">
        <v>1.06</v>
      </c>
      <c r="F138" s="12">
        <v>0</v>
      </c>
      <c r="G138" s="12">
        <v>0</v>
      </c>
      <c r="H138" s="5">
        <v>532644.46</v>
      </c>
      <c r="I138" s="19">
        <f xml:space="preserve"> 147642.16
+ 1.2034 * B138
+ 33.6227 * C138
+ 2893.1764 * D138
- 2862.4094 * E138
+ 11558.4348 * F138
- 244.4477 * G138</f>
        <v>526759.43668799987</v>
      </c>
      <c r="J138" s="12">
        <f>H138-I138</f>
        <v>5885.0233120000921</v>
      </c>
      <c r="K138" s="12" t="str">
        <f xml:space="preserve"> IF(J138&gt;0, "Positive", "Negative")</f>
        <v>Positive</v>
      </c>
    </row>
    <row r="139" spans="1:11">
      <c r="A139" s="3" t="s">
        <v>65</v>
      </c>
      <c r="B139" s="5">
        <v>65237.79</v>
      </c>
      <c r="C139" s="5">
        <v>8741</v>
      </c>
      <c r="D139" s="5">
        <v>94.4</v>
      </c>
      <c r="E139" s="5">
        <v>6.43</v>
      </c>
      <c r="F139" s="12">
        <v>0</v>
      </c>
      <c r="G139" s="12">
        <v>0</v>
      </c>
      <c r="H139" s="5">
        <v>780344.18</v>
      </c>
      <c r="I139" s="19">
        <f xml:space="preserve"> 147642.16
+ 1.2034 * B139
+ 33.6227 * C139
+ 2893.1764 * D139
- 2862.4094 * E139
+ 11558.4348 * F139
- 244.4477 * G139</f>
        <v>774755.89690400008</v>
      </c>
      <c r="J139" s="12">
        <f>H139-I139</f>
        <v>5588.2830959999701</v>
      </c>
      <c r="K139" s="12" t="str">
        <f xml:space="preserve"> IF(J139&gt;0, "Positive", "Negative")</f>
        <v>Positive</v>
      </c>
    </row>
    <row r="140" spans="1:11">
      <c r="A140" s="3" t="s">
        <v>74</v>
      </c>
      <c r="B140" s="5">
        <v>63457.19</v>
      </c>
      <c r="C140" s="5">
        <v>10125</v>
      </c>
      <c r="D140" s="5">
        <v>87</v>
      </c>
      <c r="E140" s="5">
        <v>3.84</v>
      </c>
      <c r="F140" s="12">
        <v>0</v>
      </c>
      <c r="G140" s="12">
        <v>1</v>
      </c>
      <c r="H140" s="5">
        <v>810446.53</v>
      </c>
      <c r="I140" s="19">
        <f xml:space="preserve"> 147642.16
+ 1.2034 * B140
+ 33.6227 * C140
+ 2893.1764 * D140
- 2862.4094 * E140
+ 11558.4348 * F140
- 244.4477 * G140</f>
        <v>804906.62695000006</v>
      </c>
      <c r="J140" s="12">
        <f>H140-I140</f>
        <v>5539.9030499999644</v>
      </c>
      <c r="K140" s="12" t="str">
        <f xml:space="preserve"> IF(J140&gt;0, "Positive", "Negative")</f>
        <v>Positive</v>
      </c>
    </row>
    <row r="141" spans="1:11">
      <c r="A141" s="3" t="s">
        <v>100</v>
      </c>
      <c r="B141" s="5">
        <v>78967.520000000004</v>
      </c>
      <c r="C141" s="5">
        <v>6164</v>
      </c>
      <c r="D141" s="5">
        <v>85.5</v>
      </c>
      <c r="E141" s="5">
        <v>0.2</v>
      </c>
      <c r="F141" s="12">
        <v>0</v>
      </c>
      <c r="G141" s="12">
        <v>0</v>
      </c>
      <c r="H141" s="5">
        <v>702052.47</v>
      </c>
      <c r="I141" s="19">
        <f xml:space="preserve"> 147642.16
+ 1.2034 * B141
+ 33.6227 * C141
+ 2893.1764 * D141
- 2862.4094 * E141
+ 11558.4348 * F141
- 244.4477 * G141</f>
        <v>696716.09668800002</v>
      </c>
      <c r="J141" s="12">
        <f>H141-I141</f>
        <v>5336.3733119999524</v>
      </c>
      <c r="K141" s="12" t="str">
        <f xml:space="preserve"> IF(J141&gt;0, "Positive", "Negative")</f>
        <v>Positive</v>
      </c>
    </row>
    <row r="142" spans="1:11">
      <c r="A142" s="3" t="s">
        <v>82</v>
      </c>
      <c r="B142" s="5">
        <v>70799.64</v>
      </c>
      <c r="C142" s="5">
        <v>10076</v>
      </c>
      <c r="D142" s="5">
        <v>84.8</v>
      </c>
      <c r="E142" s="5">
        <v>1.87</v>
      </c>
      <c r="F142" s="12">
        <v>1</v>
      </c>
      <c r="G142" s="12">
        <v>0</v>
      </c>
      <c r="H142" s="5">
        <v>828219.67</v>
      </c>
      <c r="I142" s="19">
        <f xml:space="preserve"> 147642.16
+ 1.2034 * B142
+ 33.6227 * C142
+ 2893.1764 * D142
- 2862.4094 * E142
+ 11558.4348 * F142
- 244.4477 * G142</f>
        <v>823171.85991800006</v>
      </c>
      <c r="J142" s="12">
        <f>H142-I142</f>
        <v>5047.8100819999818</v>
      </c>
      <c r="K142" s="12" t="str">
        <f xml:space="preserve"> IF(J142&gt;0, "Positive", "Negative")</f>
        <v>Positive</v>
      </c>
    </row>
    <row r="143" spans="1:11">
      <c r="A143" s="3" t="s">
        <v>26</v>
      </c>
      <c r="B143" s="5">
        <v>55270.52</v>
      </c>
      <c r="C143" s="5">
        <v>9315</v>
      </c>
      <c r="D143" s="5">
        <v>91.9</v>
      </c>
      <c r="E143" s="5">
        <v>4.9400000000000004</v>
      </c>
      <c r="F143" s="12">
        <v>0</v>
      </c>
      <c r="G143" s="12">
        <v>0</v>
      </c>
      <c r="H143" s="5">
        <v>783672.82</v>
      </c>
      <c r="I143" s="19">
        <f xml:space="preserve"> 147642.16
+ 1.2034 * B143
+ 33.6227 * C143
+ 2893.1764 * D143
- 2862.4094 * E143
+ 11558.4348 * F143
- 244.4477 * G143</f>
        <v>779092.76299200009</v>
      </c>
      <c r="J143" s="12">
        <f>H143-I143</f>
        <v>4580.0570079998579</v>
      </c>
      <c r="K143" s="12" t="str">
        <f xml:space="preserve"> IF(J143&gt;0, "Positive", "Negative")</f>
        <v>Positive</v>
      </c>
    </row>
    <row r="144" spans="1:11">
      <c r="A144" s="3" t="s">
        <v>51</v>
      </c>
      <c r="B144" s="5">
        <v>54968.98</v>
      </c>
      <c r="C144" s="5">
        <v>7816</v>
      </c>
      <c r="D144" s="5">
        <v>95.7</v>
      </c>
      <c r="E144" s="5">
        <v>7.85</v>
      </c>
      <c r="F144" s="12">
        <v>0</v>
      </c>
      <c r="G144" s="12">
        <v>0</v>
      </c>
      <c r="H144" s="5">
        <v>735480.19</v>
      </c>
      <c r="I144" s="19">
        <f xml:space="preserve"> 147642.16
+ 1.2034 * B144
+ 33.6227 * C144
+ 2893.1764 * D144
- 2862.4094 * E144
+ 11558.4348 * F144
- 244.4477 * G144</f>
        <v>730993.92142199993</v>
      </c>
      <c r="J144" s="12">
        <f>H144-I144</f>
        <v>4486.2685780000174</v>
      </c>
      <c r="K144" s="12" t="str">
        <f xml:space="preserve"> IF(J144&gt;0, "Positive", "Negative")</f>
        <v>Positive</v>
      </c>
    </row>
    <row r="145" spans="1:11">
      <c r="A145" s="3" t="s">
        <v>96</v>
      </c>
      <c r="B145" s="5">
        <v>55599.56</v>
      </c>
      <c r="C145" s="5">
        <v>5896</v>
      </c>
      <c r="D145" s="5">
        <v>93.1</v>
      </c>
      <c r="E145" s="5">
        <v>6.13</v>
      </c>
      <c r="F145" s="12">
        <v>0</v>
      </c>
      <c r="G145" s="12">
        <v>1</v>
      </c>
      <c r="H145" s="5">
        <v>668459.37</v>
      </c>
      <c r="I145" s="19">
        <f xml:space="preserve"> 147642.16
+ 1.2034 * B145
+ 33.6227 * C145
+ 2893.1764 * D145
- 2862.4094 * E145
+ 11558.4348 * F145
- 244.4477 * G145</f>
        <v>664353.815222</v>
      </c>
      <c r="J145" s="12">
        <f>H145-I145</f>
        <v>4105.5547779999906</v>
      </c>
      <c r="K145" s="12" t="str">
        <f xml:space="preserve"> IF(J145&gt;0, "Positive", "Negative")</f>
        <v>Positive</v>
      </c>
    </row>
    <row r="146" spans="1:11">
      <c r="A146" s="3" t="s">
        <v>46</v>
      </c>
      <c r="B146" s="5">
        <v>38752.800000000003</v>
      </c>
      <c r="C146" s="5">
        <v>4712</v>
      </c>
      <c r="D146" s="5">
        <v>89.7</v>
      </c>
      <c r="E146" s="5">
        <v>3.37</v>
      </c>
      <c r="F146" s="12">
        <v>0</v>
      </c>
      <c r="G146" s="12">
        <v>0</v>
      </c>
      <c r="H146" s="5">
        <v>605775.32999999996</v>
      </c>
      <c r="I146" s="19">
        <f xml:space="preserve"> 147642.16
+ 1.2034 * B146
+ 33.6227 * C146
+ 2893.1764 * D146
- 2862.4094 * E146
+ 11558.4348 * F146
- 244.4477 * G146</f>
        <v>602579.04532200005</v>
      </c>
      <c r="J146" s="12">
        <f>H146-I146</f>
        <v>3196.284677999909</v>
      </c>
      <c r="K146" s="12" t="str">
        <f xml:space="preserve"> IF(J146&gt;0, "Positive", "Negative")</f>
        <v>Positive</v>
      </c>
    </row>
    <row r="147" spans="1:11">
      <c r="A147" s="3" t="s">
        <v>82</v>
      </c>
      <c r="B147" s="5">
        <v>53546.34</v>
      </c>
      <c r="C147" s="5">
        <v>8004</v>
      </c>
      <c r="D147" s="5">
        <v>95.2</v>
      </c>
      <c r="E147" s="5">
        <v>2.83</v>
      </c>
      <c r="F147" s="12">
        <v>1</v>
      </c>
      <c r="G147" s="12">
        <v>0</v>
      </c>
      <c r="H147" s="5">
        <v>763159.92</v>
      </c>
      <c r="I147" s="19">
        <f xml:space="preserve"> 147642.16
+ 1.2034 * B147
+ 33.6227 * C147
+ 2893.1764 * D147
- 2862.4094 * E147
+ 11558.4348 * F147
- 244.4477 * G147</f>
        <v>760084.12583400018</v>
      </c>
      <c r="J147" s="12">
        <f>H147-I147</f>
        <v>3075.7941659998614</v>
      </c>
      <c r="K147" s="12" t="str">
        <f xml:space="preserve"> IF(J147&gt;0, "Positive", "Negative")</f>
        <v>Positive</v>
      </c>
    </row>
    <row r="148" spans="1:11">
      <c r="A148" s="3" t="s">
        <v>81</v>
      </c>
      <c r="B148" s="5">
        <v>59060.05</v>
      </c>
      <c r="C148" s="5">
        <v>9702</v>
      </c>
      <c r="D148" s="5">
        <v>80.900000000000006</v>
      </c>
      <c r="E148" s="5">
        <v>6.96</v>
      </c>
      <c r="F148" s="12">
        <v>0</v>
      </c>
      <c r="G148" s="12">
        <v>0</v>
      </c>
      <c r="H148" s="5">
        <v>761919.25</v>
      </c>
      <c r="I148" s="19">
        <f xml:space="preserve"> 147642.16
+ 1.2034 * B148
+ 33.6227 * C148
+ 2893.1764 * D148
- 2862.4094 * E148
+ 11558.4348 * F148
- 244.4477 * G148</f>
        <v>759058.06090599985</v>
      </c>
      <c r="J148" s="12">
        <f>H148-I148</f>
        <v>2861.1890940001467</v>
      </c>
      <c r="K148" s="12" t="str">
        <f xml:space="preserve"> IF(J148&gt;0, "Positive", "Negative")</f>
        <v>Positive</v>
      </c>
    </row>
    <row r="149" spans="1:11">
      <c r="A149" s="3" t="s">
        <v>80</v>
      </c>
      <c r="B149" s="5">
        <v>62582.71</v>
      </c>
      <c r="C149" s="5">
        <v>5479</v>
      </c>
      <c r="D149" s="5">
        <v>81.2</v>
      </c>
      <c r="E149" s="5">
        <v>1.46</v>
      </c>
      <c r="F149" s="12">
        <v>0</v>
      </c>
      <c r="G149" s="12">
        <v>0</v>
      </c>
      <c r="H149" s="5">
        <v>640666.53</v>
      </c>
      <c r="I149" s="19">
        <f xml:space="preserve"> 147642.16
+ 1.2034 * B149
+ 33.6227 * C149
+ 2893.1764 * D149
- 2862.4094 * E149
+ 11558.4348 * F149
- 244.4477 * G149</f>
        <v>637919.77246999997</v>
      </c>
      <c r="J149" s="12">
        <f>H149-I149</f>
        <v>2746.7575300000608</v>
      </c>
      <c r="K149" s="12" t="str">
        <f xml:space="preserve"> IF(J149&gt;0, "Positive", "Negative")</f>
        <v>Positive</v>
      </c>
    </row>
    <row r="150" spans="1:11">
      <c r="A150" s="3" t="s">
        <v>38</v>
      </c>
      <c r="B150" s="5">
        <v>51148.69</v>
      </c>
      <c r="C150" s="5">
        <v>7940</v>
      </c>
      <c r="D150" s="5">
        <v>93.3</v>
      </c>
      <c r="E150" s="5">
        <v>10.91</v>
      </c>
      <c r="F150" s="12">
        <v>0</v>
      </c>
      <c r="G150" s="12">
        <v>1</v>
      </c>
      <c r="H150" s="5">
        <v>717141.55</v>
      </c>
      <c r="I150" s="19">
        <f xml:space="preserve"> 147642.16
+ 1.2034 * B150
+ 33.6227 * C150
+ 2893.1764 * D150
- 2862.4094 * E150
+ 11558.4348 * F150
- 244.4477 * G150</f>
        <v>714618.755412</v>
      </c>
      <c r="J150" s="12">
        <f>H150-I150</f>
        <v>2522.794588000048</v>
      </c>
      <c r="K150" s="12" t="str">
        <f xml:space="preserve"> IF(J150&gt;0, "Positive", "Negative")</f>
        <v>Positive</v>
      </c>
    </row>
    <row r="151" spans="1:11">
      <c r="A151" s="3" t="s">
        <v>87</v>
      </c>
      <c r="B151" s="5">
        <v>43288.2</v>
      </c>
      <c r="C151" s="5">
        <v>4783</v>
      </c>
      <c r="D151" s="5">
        <v>87.3</v>
      </c>
      <c r="E151" s="5">
        <v>3.37</v>
      </c>
      <c r="F151" s="12">
        <v>0</v>
      </c>
      <c r="G151" s="12">
        <v>1</v>
      </c>
      <c r="H151" s="5">
        <v>605751.32999999996</v>
      </c>
      <c r="I151" s="19">
        <f xml:space="preserve"> 147642.16
+ 1.2034 * B151
+ 33.6227 * C151
+ 2893.1764 * D151
- 2862.4094 * E151
+ 11558.4348 * F151
- 244.4477 * G151</f>
        <v>603236.0863219999</v>
      </c>
      <c r="J151" s="12">
        <f>H151-I151</f>
        <v>2515.2436780000571</v>
      </c>
      <c r="K151" s="12" t="str">
        <f xml:space="preserve"> IF(J151&gt;0, "Positive", "Negative")</f>
        <v>Positive</v>
      </c>
    </row>
    <row r="152" spans="1:11">
      <c r="A152" s="3" t="s">
        <v>99</v>
      </c>
      <c r="B152" s="5">
        <v>86026.58</v>
      </c>
      <c r="C152" s="5">
        <v>7479</v>
      </c>
      <c r="D152" s="5">
        <v>89</v>
      </c>
      <c r="E152" s="5">
        <v>0.9</v>
      </c>
      <c r="F152" s="12">
        <v>1</v>
      </c>
      <c r="G152" s="12">
        <v>1</v>
      </c>
      <c r="H152" s="5">
        <v>771129.07</v>
      </c>
      <c r="I152" s="19">
        <f xml:space="preserve"> 147642.16
+ 1.2034 * B152
+ 33.6227 * C152
+ 2893.1764 * D152
- 2862.4094 * E152
+ 11558.4348 * F152
- 244.4477 * G152</f>
        <v>768861.23791200004</v>
      </c>
      <c r="J152" s="12">
        <f>H152-I152</f>
        <v>2267.8320879999083</v>
      </c>
      <c r="K152" s="12" t="str">
        <f xml:space="preserve"> IF(J152&gt;0, "Positive", "Negative")</f>
        <v>Positive</v>
      </c>
    </row>
    <row r="153" spans="1:11">
      <c r="A153" s="3" t="s">
        <v>78</v>
      </c>
      <c r="B153" s="5">
        <v>42932.02</v>
      </c>
      <c r="C153" s="5">
        <v>3872</v>
      </c>
      <c r="D153" s="5">
        <v>83.2</v>
      </c>
      <c r="E153" s="5">
        <v>15.58</v>
      </c>
      <c r="F153" s="12">
        <v>0</v>
      </c>
      <c r="G153" s="12">
        <v>0</v>
      </c>
      <c r="H153" s="5">
        <v>527681.56000000006</v>
      </c>
      <c r="I153" s="19">
        <f xml:space="preserve"> 147642.16
+ 1.2034 * B153
+ 33.6227 * C153
+ 2893.1764 * D153
- 2862.4094 * E153
+ 11558.4348 * F153
- 244.4477 * G153</f>
        <v>525609.585296</v>
      </c>
      <c r="J153" s="12">
        <f>H153-I153</f>
        <v>2071.9747040000511</v>
      </c>
      <c r="K153" s="12" t="str">
        <f xml:space="preserve"> IF(J153&gt;0, "Positive", "Negative")</f>
        <v>Positive</v>
      </c>
    </row>
    <row r="154" spans="1:11">
      <c r="A154" s="3" t="s">
        <v>54</v>
      </c>
      <c r="B154" s="5">
        <v>66455.8</v>
      </c>
      <c r="C154" s="5">
        <v>10836</v>
      </c>
      <c r="D154" s="5">
        <v>85</v>
      </c>
      <c r="E154" s="5">
        <v>9.77</v>
      </c>
      <c r="F154" s="12">
        <v>0</v>
      </c>
      <c r="G154" s="12">
        <v>1</v>
      </c>
      <c r="H154" s="5">
        <v>811452.72</v>
      </c>
      <c r="I154" s="19">
        <f xml:space="preserve"> 147642.16
+ 1.2034 * B154
+ 33.6227 * C154
+ 2893.1764 * D154
- 2862.4094 * E154
+ 11558.4348 * F154
- 244.4477 * G154</f>
        <v>809660.45338199986</v>
      </c>
      <c r="J154" s="12">
        <f>H154-I154</f>
        <v>1792.2666180001106</v>
      </c>
      <c r="K154" s="12" t="str">
        <f xml:space="preserve"> IF(J154&gt;0, "Positive", "Negative")</f>
        <v>Positive</v>
      </c>
    </row>
    <row r="155" spans="1:11">
      <c r="A155" s="3" t="s">
        <v>97</v>
      </c>
      <c r="B155" s="5">
        <v>52843.75</v>
      </c>
      <c r="C155" s="5">
        <v>8268</v>
      </c>
      <c r="D155" s="5">
        <v>87.3</v>
      </c>
      <c r="E155" s="5">
        <v>4.3899999999999997</v>
      </c>
      <c r="F155" s="12">
        <v>0</v>
      </c>
      <c r="G155" s="12">
        <v>0</v>
      </c>
      <c r="H155" s="5">
        <v>730890.01</v>
      </c>
      <c r="I155" s="19">
        <f xml:space="preserve"> 147642.16
+ 1.2034 * B155
+ 33.6227 * C155
+ 2893.1764 * D155
- 2862.4094 * E155
+ 11558.4348 * F155
- 244.4477 * G155</f>
        <v>729235.13480400003</v>
      </c>
      <c r="J155" s="12">
        <f>H155-I155</f>
        <v>1654.875195999979</v>
      </c>
      <c r="K155" s="12" t="str">
        <f xml:space="preserve"> IF(J155&gt;0, "Positive", "Negative")</f>
        <v>Positive</v>
      </c>
    </row>
    <row r="156" spans="1:11">
      <c r="A156" s="3" t="s">
        <v>60</v>
      </c>
      <c r="B156" s="5">
        <v>64374.75</v>
      </c>
      <c r="C156" s="5">
        <v>6740</v>
      </c>
      <c r="D156" s="5">
        <v>87</v>
      </c>
      <c r="E156" s="5">
        <v>2.09</v>
      </c>
      <c r="F156" s="12">
        <v>0</v>
      </c>
      <c r="G156" s="12">
        <v>1</v>
      </c>
      <c r="H156" s="5">
        <v>698492.67</v>
      </c>
      <c r="I156" s="19">
        <f xml:space="preserve"> 147642.16
+ 1.2034 * B156
+ 33.6227 * C156
+ 2893.1764 * D156
- 2862.4094 * E156
+ 11558.4348 * F156
- 244.4477 * G156</f>
        <v>697207.19560400001</v>
      </c>
      <c r="J156" s="12">
        <f>H156-I156</f>
        <v>1285.4743960000342</v>
      </c>
      <c r="K156" s="12" t="str">
        <f xml:space="preserve"> IF(J156&gt;0, "Positive", "Negative")</f>
        <v>Positive</v>
      </c>
    </row>
    <row r="157" spans="1:11">
      <c r="A157" s="3" t="s">
        <v>83</v>
      </c>
      <c r="B157" s="5">
        <v>76942.2</v>
      </c>
      <c r="C157" s="5">
        <v>8934</v>
      </c>
      <c r="D157" s="5">
        <v>91</v>
      </c>
      <c r="E157" s="5">
        <v>0.95</v>
      </c>
      <c r="F157" s="12">
        <v>0</v>
      </c>
      <c r="G157" s="12">
        <v>1</v>
      </c>
      <c r="H157" s="5">
        <v>802001.68</v>
      </c>
      <c r="I157" s="19">
        <f xml:space="preserve"> 147642.16
+ 1.2034 * B157
+ 33.6227 * C157
+ 2893.1764 * D157
- 2862.4094 * E157
+ 11558.4348 * F157
- 244.4477 * G157</f>
        <v>800934.92104999989</v>
      </c>
      <c r="J157" s="12">
        <f>H157-I157</f>
        <v>1066.7589500001632</v>
      </c>
      <c r="K157" s="12" t="str">
        <f xml:space="preserve"> IF(J157&gt;0, "Positive", "Negative")</f>
        <v>Positive</v>
      </c>
    </row>
    <row r="158" spans="1:11">
      <c r="A158" s="3" t="s">
        <v>86</v>
      </c>
      <c r="B158" s="5">
        <v>44189.34</v>
      </c>
      <c r="C158" s="5">
        <v>8634</v>
      </c>
      <c r="D158" s="5">
        <v>87.5</v>
      </c>
      <c r="E158" s="5">
        <v>3.69</v>
      </c>
      <c r="F158" s="12">
        <v>1</v>
      </c>
      <c r="G158" s="12">
        <v>0</v>
      </c>
      <c r="H158" s="5">
        <v>746115.59</v>
      </c>
      <c r="I158" s="19">
        <f xml:space="preserve"> 147642.16
+ 1.2034 * B158
+ 33.6227 * C158
+ 2893.1764 * D158
- 2862.4094 * E158
+ 11558.4348 * F158
- 244.4477 * G158</f>
        <v>745267.08267000015</v>
      </c>
      <c r="J158" s="12">
        <f>H158-I158</f>
        <v>848.50732999981847</v>
      </c>
      <c r="K158" s="12" t="str">
        <f xml:space="preserve"> IF(J158&gt;0, "Positive", "Negative")</f>
        <v>Positive</v>
      </c>
    </row>
    <row r="159" spans="1:11">
      <c r="A159" s="3" t="s">
        <v>17</v>
      </c>
      <c r="B159" s="5">
        <v>46213.45</v>
      </c>
      <c r="C159" s="5">
        <v>10616</v>
      </c>
      <c r="D159" s="5">
        <v>85.2</v>
      </c>
      <c r="E159" s="5">
        <v>0.2</v>
      </c>
      <c r="F159" s="12">
        <v>0</v>
      </c>
      <c r="G159" s="12">
        <v>1</v>
      </c>
      <c r="H159" s="5">
        <v>806615.54</v>
      </c>
      <c r="I159" s="19">
        <f xml:space="preserve"> 147642.16
+ 1.2034 * B159
+ 33.6227 * C159
+ 2893.1764 * D159
- 2862.4094 * E159
+ 11558.4348 * F159
- 244.4477 * G159</f>
        <v>805875.70863000001</v>
      </c>
      <c r="J159" s="12">
        <f>H159-I159</f>
        <v>739.83137000002898</v>
      </c>
      <c r="K159" s="12" t="str">
        <f xml:space="preserve"> IF(J159&gt;0, "Positive", "Negative")</f>
        <v>Positive</v>
      </c>
    </row>
    <row r="160" spans="1:11">
      <c r="A160" s="3" t="s">
        <v>43</v>
      </c>
      <c r="B160" s="5">
        <v>18996.32</v>
      </c>
      <c r="C160" s="5">
        <v>1260</v>
      </c>
      <c r="D160" s="5">
        <v>86.4</v>
      </c>
      <c r="E160" s="5">
        <v>4.3099999999999996</v>
      </c>
      <c r="F160" s="12">
        <v>0</v>
      </c>
      <c r="G160" s="12">
        <v>1</v>
      </c>
      <c r="H160" s="5">
        <v>450711.92</v>
      </c>
      <c r="I160" s="19">
        <f xml:space="preserve"> 147642.16
+ 1.2034 * B160
+ 33.6227 * C160
+ 2893.1764 * D160
- 2862.4094 * E160
+ 11558.4348 * F160
- 244.4477 * G160</f>
        <v>450255.94223399996</v>
      </c>
      <c r="J160" s="12">
        <f>H160-I160</f>
        <v>455.97776600002544</v>
      </c>
      <c r="K160" s="12" t="str">
        <f xml:space="preserve"> IF(J160&gt;0, "Positive", "Negative")</f>
        <v>Positive</v>
      </c>
    </row>
    <row r="161" spans="1:11">
      <c r="A161" s="3" t="s">
        <v>97</v>
      </c>
      <c r="B161" s="5">
        <v>63986.98</v>
      </c>
      <c r="C161" s="5">
        <v>7989</v>
      </c>
      <c r="D161" s="5">
        <v>83.3</v>
      </c>
      <c r="E161" s="5">
        <v>3.6</v>
      </c>
      <c r="F161" s="12">
        <v>0</v>
      </c>
      <c r="G161" s="12">
        <v>0</v>
      </c>
      <c r="H161" s="5">
        <v>724346.73</v>
      </c>
      <c r="I161" s="19">
        <f xml:space="preserve"> 147642.16
+ 1.2034 * B161
+ 33.6227 * C161
+ 2893.1764 * D161
- 2862.4094 * E161
+ 11558.4348 * F161
- 244.4477 * G161</f>
        <v>723952.76231200004</v>
      </c>
      <c r="J161" s="12">
        <f>H161-I161</f>
        <v>393.96768799994607</v>
      </c>
      <c r="K161" s="12" t="str">
        <f xml:space="preserve"> IF(J161&gt;0, "Positive", "Negative")</f>
        <v>Positive</v>
      </c>
    </row>
    <row r="162" spans="1:11">
      <c r="A162" s="3" t="s">
        <v>19</v>
      </c>
      <c r="B162" s="5">
        <v>34285.21</v>
      </c>
      <c r="C162" s="5">
        <v>9172</v>
      </c>
      <c r="D162" s="5">
        <v>88.3</v>
      </c>
      <c r="E162" s="5">
        <v>10.46</v>
      </c>
      <c r="F162" s="12">
        <v>0</v>
      </c>
      <c r="G162" s="12">
        <v>0</v>
      </c>
      <c r="H162" s="5">
        <v>723060.76</v>
      </c>
      <c r="I162" s="19">
        <f xml:space="preserve"> 147642.16
+ 1.2034 * B162
+ 33.6227 * C162
+ 2893.1764 * D162
- 2862.4094 * E162
+ 11558.4348 * F162
- 244.4477 * G162</f>
        <v>722815.05990999995</v>
      </c>
      <c r="J162" s="12">
        <f>H162-I162</f>
        <v>245.70009000005666</v>
      </c>
      <c r="K162" s="12" t="str">
        <f xml:space="preserve"> IF(J162&gt;0, "Positive", "Negative")</f>
        <v>Positive</v>
      </c>
    </row>
    <row r="163" spans="1:11">
      <c r="A163" s="3" t="s">
        <v>69</v>
      </c>
      <c r="B163" s="5">
        <v>55788.61</v>
      </c>
      <c r="C163" s="5">
        <v>2312</v>
      </c>
      <c r="D163" s="5">
        <v>91.3</v>
      </c>
      <c r="E163" s="5">
        <v>1.99</v>
      </c>
      <c r="F163" s="12">
        <v>0</v>
      </c>
      <c r="G163" s="12">
        <v>1</v>
      </c>
      <c r="H163" s="5">
        <v>550962.93000000005</v>
      </c>
      <c r="I163" s="19">
        <f xml:space="preserve"> 147642.16
+ 1.2034 * B163
+ 33.6227 * C163
+ 2893.1764 * D163
- 2862.4094 * E163
+ 11558.4348 * F163
- 244.4477 * G163</f>
        <v>550720.21858799993</v>
      </c>
      <c r="J163" s="12">
        <f>H163-I163</f>
        <v>242.71141200012062</v>
      </c>
      <c r="K163" s="12" t="str">
        <f xml:space="preserve"> IF(J163&gt;0, "Positive", "Negative")</f>
        <v>Positive</v>
      </c>
    </row>
    <row r="164" spans="1:11">
      <c r="A164" s="3" t="s">
        <v>38</v>
      </c>
      <c r="B164" s="5">
        <v>42018.400000000001</v>
      </c>
      <c r="C164" s="5">
        <v>8296</v>
      </c>
      <c r="D164" s="5">
        <v>91.8</v>
      </c>
      <c r="E164" s="5">
        <v>0.77</v>
      </c>
      <c r="F164" s="12">
        <v>0</v>
      </c>
      <c r="G164" s="12">
        <v>1</v>
      </c>
      <c r="H164" s="5">
        <v>740496.65</v>
      </c>
      <c r="I164" s="19">
        <f xml:space="preserve"> 147642.16
+ 1.2034 * B164
+ 33.6227 * C164
+ 2893.1764 * D164
- 2862.4094 * E164
+ 11558.4348 * F164
- 244.4477 * G164</f>
        <v>740286.11234200001</v>
      </c>
      <c r="J164" s="12">
        <f>H164-I164</f>
        <v>210.53765800001565</v>
      </c>
      <c r="K164" s="12" t="str">
        <f xml:space="preserve"> IF(J164&gt;0, "Positive", "Negative")</f>
        <v>Positive</v>
      </c>
    </row>
    <row r="165" spans="1:11">
      <c r="A165" s="3" t="s">
        <v>40</v>
      </c>
      <c r="B165" s="5">
        <v>46201.46</v>
      </c>
      <c r="C165" s="5">
        <v>5918</v>
      </c>
      <c r="D165" s="5">
        <v>78.8</v>
      </c>
      <c r="E165" s="5">
        <v>4.91</v>
      </c>
      <c r="F165" s="12">
        <v>0</v>
      </c>
      <c r="G165" s="12">
        <v>0</v>
      </c>
      <c r="H165" s="5">
        <v>616069.41</v>
      </c>
      <c r="I165" s="19">
        <f xml:space="preserve"> 147642.16
+ 1.2034 * B165
+ 33.6227 * C165
+ 2893.1764 * D165
- 2862.4094 * E165
+ 11558.4348 * F165
- 244.4477 * G165</f>
        <v>616148.00573000009</v>
      </c>
      <c r="J165" s="12">
        <f>H165-I165</f>
        <v>-78.59573000005912</v>
      </c>
      <c r="K165" s="12" t="str">
        <f xml:space="preserve"> IF(J165&gt;0, "Positive", "Negative")</f>
        <v>Negative</v>
      </c>
    </row>
    <row r="166" spans="1:11">
      <c r="A166" s="3" t="s">
        <v>80</v>
      </c>
      <c r="B166" s="5">
        <v>47944.14</v>
      </c>
      <c r="C166" s="5">
        <v>6169</v>
      </c>
      <c r="D166" s="5">
        <v>92.2</v>
      </c>
      <c r="E166" s="5">
        <v>3.02</v>
      </c>
      <c r="F166" s="12">
        <v>0</v>
      </c>
      <c r="G166" s="12">
        <v>0</v>
      </c>
      <c r="H166" s="5">
        <v>670629.48</v>
      </c>
      <c r="I166" s="19">
        <f xml:space="preserve"> 147642.16
+ 1.2034 * B166
+ 33.6227 * C166
+ 2893.1764 * D166
- 2862.4094 * E166
+ 11558.4348 * F166
- 244.4477 * G166</f>
        <v>670862.96206799999</v>
      </c>
      <c r="J166" s="12">
        <f>H166-I166</f>
        <v>-233.48206800001208</v>
      </c>
      <c r="K166" s="12" t="str">
        <f xml:space="preserve"> IF(J166&gt;0, "Positive", "Negative")</f>
        <v>Negative</v>
      </c>
    </row>
    <row r="167" spans="1:11">
      <c r="A167" s="3" t="s">
        <v>55</v>
      </c>
      <c r="B167" s="5">
        <v>52285.45</v>
      </c>
      <c r="C167" s="5">
        <v>3618</v>
      </c>
      <c r="D167" s="5">
        <v>95.6</v>
      </c>
      <c r="E167" s="5">
        <v>5.17</v>
      </c>
      <c r="F167" s="12">
        <v>0</v>
      </c>
      <c r="G167" s="12">
        <v>1</v>
      </c>
      <c r="H167" s="5">
        <v>593247.25</v>
      </c>
      <c r="I167" s="19">
        <f xml:space="preserve"> 147642.16
+ 1.2034 * B167
+ 33.6227 * C167
+ 2893.1764 * D167
- 2862.4094 * E167
+ 11558.4348 * F167
- 244.4477 * G167</f>
        <v>593753.95867199998</v>
      </c>
      <c r="J167" s="12">
        <f>H167-I167</f>
        <v>-506.70867199997883</v>
      </c>
      <c r="K167" s="12" t="str">
        <f xml:space="preserve"> IF(J167&gt;0, "Positive", "Negative")</f>
        <v>Negative</v>
      </c>
    </row>
    <row r="168" spans="1:11">
      <c r="A168" s="3" t="s">
        <v>92</v>
      </c>
      <c r="B168" s="5">
        <v>18599.21</v>
      </c>
      <c r="C168" s="5">
        <v>3027</v>
      </c>
      <c r="D168" s="5">
        <v>80.900000000000006</v>
      </c>
      <c r="E168" s="5">
        <v>6.44</v>
      </c>
      <c r="F168" s="12">
        <v>1</v>
      </c>
      <c r="G168" s="12">
        <v>1</v>
      </c>
      <c r="H168" s="5">
        <v>497439.82</v>
      </c>
      <c r="I168" s="19">
        <f xml:space="preserve"> 147642.16
+ 1.2034 * B168
+ 33.6227 * C168
+ 2893.1764 * D168
- 2862.4094 * E168
+ 11558.4348 * F168
- 244.4477 * G168</f>
        <v>498738.40353800001</v>
      </c>
      <c r="J168" s="12">
        <f>H168-I168</f>
        <v>-1298.5835380000062</v>
      </c>
      <c r="K168" s="12" t="str">
        <f xml:space="preserve"> IF(J168&gt;0, "Positive", "Negative")</f>
        <v>Negative</v>
      </c>
    </row>
    <row r="169" spans="1:11">
      <c r="A169" s="3" t="s">
        <v>63</v>
      </c>
      <c r="B169" s="5">
        <v>35303.300000000003</v>
      </c>
      <c r="C169" s="5">
        <v>8789</v>
      </c>
      <c r="D169" s="5">
        <v>86.1</v>
      </c>
      <c r="E169" s="5">
        <v>9.43</v>
      </c>
      <c r="F169" s="12">
        <v>0</v>
      </c>
      <c r="G169" s="12">
        <v>0</v>
      </c>
      <c r="H169" s="5">
        <v>706285.52</v>
      </c>
      <c r="I169" s="19">
        <f xml:space="preserve"> 147642.16
+ 1.2034 * B169
+ 33.6227 * C169
+ 2893.1764 * D169
- 2862.4094 * E169
+ 11558.4348 * F169
- 244.4477 * G169</f>
        <v>707746.02891799994</v>
      </c>
      <c r="J169" s="12">
        <f>H169-I169</f>
        <v>-1460.5089179999195</v>
      </c>
      <c r="K169" s="12" t="str">
        <f xml:space="preserve"> IF(J169&gt;0, "Positive", "Negative")</f>
        <v>Negative</v>
      </c>
    </row>
    <row r="170" spans="1:11">
      <c r="A170" s="3" t="s">
        <v>56</v>
      </c>
      <c r="B170" s="5">
        <v>44211.95</v>
      </c>
      <c r="C170" s="5">
        <v>5465</v>
      </c>
      <c r="D170" s="5">
        <v>90</v>
      </c>
      <c r="E170" s="5">
        <v>2.89</v>
      </c>
      <c r="F170" s="12">
        <v>1</v>
      </c>
      <c r="G170" s="12">
        <v>0</v>
      </c>
      <c r="H170" s="5">
        <v>646559.71</v>
      </c>
      <c r="I170" s="19">
        <f xml:space="preserve"> 147642.16
+ 1.2034 * B170
+ 33.6227 * C170
+ 2893.1764 * D170
- 2862.4094 * E170
+ 11558.4348 * F170
- 244.4477 * G170</f>
        <v>648266.82376399997</v>
      </c>
      <c r="J170" s="12">
        <f>H170-I170</f>
        <v>-1707.1137640000088</v>
      </c>
      <c r="K170" s="12" t="str">
        <f xml:space="preserve"> IF(J170&gt;0, "Positive", "Negative")</f>
        <v>Negative</v>
      </c>
    </row>
    <row r="171" spans="1:11">
      <c r="A171" s="3" t="s">
        <v>31</v>
      </c>
      <c r="B171" s="5">
        <v>65012.19</v>
      </c>
      <c r="C171" s="5">
        <v>9598</v>
      </c>
      <c r="D171" s="5">
        <v>98.3</v>
      </c>
      <c r="E171" s="5">
        <v>0.89</v>
      </c>
      <c r="F171" s="12">
        <v>0</v>
      </c>
      <c r="G171" s="12">
        <v>0</v>
      </c>
      <c r="H171" s="5">
        <v>828623.85</v>
      </c>
      <c r="I171" s="19">
        <f xml:space="preserve"> 147642.16
+ 1.2034 * B171
+ 33.6227 * C171
+ 2893.1764 * D171
- 2862.4094 * E171
+ 11558.4348 * F171
- 244.4477 * G171</f>
        <v>830440.19980000006</v>
      </c>
      <c r="J171" s="12">
        <f>H171-I171</f>
        <v>-1816.3498000000836</v>
      </c>
      <c r="K171" s="12" t="str">
        <f xml:space="preserve"> IF(J171&gt;0, "Positive", "Negative")</f>
        <v>Negative</v>
      </c>
    </row>
    <row r="172" spans="1:11">
      <c r="A172" s="3" t="s">
        <v>99</v>
      </c>
      <c r="B172" s="5">
        <v>54322.94</v>
      </c>
      <c r="C172" s="5">
        <v>5434</v>
      </c>
      <c r="D172" s="5">
        <v>85.7</v>
      </c>
      <c r="E172" s="5">
        <v>10.6</v>
      </c>
      <c r="F172" s="12">
        <v>1</v>
      </c>
      <c r="G172" s="12">
        <v>1</v>
      </c>
      <c r="H172" s="5">
        <v>621677.30000000005</v>
      </c>
      <c r="I172" s="19">
        <f xml:space="preserve"> 147642.16
+ 1.2034 * B172
+ 33.6227 * C172
+ 2893.1764 * D172
- 2862.4094 * E172
+ 11558.4348 * F172
- 244.4477 * G172</f>
        <v>624637.80273600004</v>
      </c>
      <c r="J172" s="12">
        <f>H172-I172</f>
        <v>-2960.5027359999949</v>
      </c>
      <c r="K172" s="12" t="str">
        <f xml:space="preserve"> IF(J172&gt;0, "Positive", "Negative")</f>
        <v>Negative</v>
      </c>
    </row>
    <row r="173" spans="1:11">
      <c r="A173" s="3" t="s">
        <v>31</v>
      </c>
      <c r="B173" s="5">
        <v>93381.26</v>
      </c>
      <c r="C173" s="5">
        <v>7562</v>
      </c>
      <c r="D173" s="5">
        <v>82.9</v>
      </c>
      <c r="E173" s="5">
        <v>5.05</v>
      </c>
      <c r="F173" s="12">
        <v>0</v>
      </c>
      <c r="G173" s="12">
        <v>0</v>
      </c>
      <c r="H173" s="5">
        <v>736633.4</v>
      </c>
      <c r="I173" s="19">
        <f xml:space="preserve"> 147642.16
+ 1.2034 * B173
+ 33.6227 * C173
+ 2893.1764 * D173
- 2862.4094 * E173
+ 11558.4348 * F173
- 244.4477 * G173</f>
        <v>739661.18177399994</v>
      </c>
      <c r="J173" s="12">
        <f>H173-I173</f>
        <v>-3027.7817739999155</v>
      </c>
      <c r="K173" s="12" t="str">
        <f xml:space="preserve"> IF(J173&gt;0, "Positive", "Negative")</f>
        <v>Negative</v>
      </c>
    </row>
    <row r="174" spans="1:11">
      <c r="A174" s="3" t="s">
        <v>63</v>
      </c>
      <c r="B174" s="5">
        <v>30301.86</v>
      </c>
      <c r="C174" s="5">
        <v>6939</v>
      </c>
      <c r="D174" s="5">
        <v>90.3</v>
      </c>
      <c r="E174" s="5">
        <v>3.49</v>
      </c>
      <c r="F174" s="12">
        <v>0</v>
      </c>
      <c r="G174" s="12">
        <v>0</v>
      </c>
      <c r="H174" s="5">
        <v>665534.69999999995</v>
      </c>
      <c r="I174" s="19">
        <f xml:space="preserve"> 147642.16
+ 1.2034 * B174
+ 33.6227 * C174
+ 2893.1764 * D174
- 2862.4094 * E174
+ 11558.4348 * F174
- 244.4477 * G174</f>
        <v>668679.35373799992</v>
      </c>
      <c r="J174" s="12">
        <f>H174-I174</f>
        <v>-3144.6537379999645</v>
      </c>
      <c r="K174" s="12" t="str">
        <f xml:space="preserve"> IF(J174&gt;0, "Positive", "Negative")</f>
        <v>Negative</v>
      </c>
    </row>
    <row r="175" spans="1:11">
      <c r="A175" s="3" t="s">
        <v>70</v>
      </c>
      <c r="B175" s="5">
        <v>40220.18</v>
      </c>
      <c r="C175" s="5">
        <v>3783</v>
      </c>
      <c r="D175" s="5">
        <v>86.6</v>
      </c>
      <c r="E175" s="5">
        <v>3.63</v>
      </c>
      <c r="F175" s="12">
        <v>0</v>
      </c>
      <c r="G175" s="12">
        <v>0</v>
      </c>
      <c r="H175" s="5">
        <v>559422.02</v>
      </c>
      <c r="I175" s="19">
        <f xml:space="preserve"> 147642.16
+ 1.2034 * B175
+ 33.6227 * C175
+ 2893.1764 * D175
- 2862.4094 * E175
+ 11558.4348 * F175
- 244.4477 * G175</f>
        <v>563396.32883000001</v>
      </c>
      <c r="J175" s="12">
        <f>H175-I175</f>
        <v>-3974.3088299999945</v>
      </c>
      <c r="K175" s="12" t="str">
        <f xml:space="preserve"> IF(J175&gt;0, "Positive", "Negative")</f>
        <v>Negative</v>
      </c>
    </row>
    <row r="176" spans="1:11">
      <c r="A176" s="3" t="s">
        <v>51</v>
      </c>
      <c r="B176" s="5">
        <v>43685.14</v>
      </c>
      <c r="C176" s="5">
        <v>7821</v>
      </c>
      <c r="D176" s="5">
        <v>91</v>
      </c>
      <c r="E176" s="5">
        <v>2.4900000000000002</v>
      </c>
      <c r="F176" s="12">
        <v>0</v>
      </c>
      <c r="G176" s="12">
        <v>0</v>
      </c>
      <c r="H176" s="5">
        <v>714942.43</v>
      </c>
      <c r="I176" s="19">
        <f xml:space="preserve"> 147642.16
+ 1.2034 * B176
+ 33.6227 * C176
+ 2893.1764 * D176
- 2862.4094 * E176
+ 11558.4348 * F176
- 244.4477 * G176</f>
        <v>719327.64717000001</v>
      </c>
      <c r="J176" s="12">
        <f>H176-I176</f>
        <v>-4385.2171699999599</v>
      </c>
      <c r="K176" s="12" t="str">
        <f xml:space="preserve"> IF(J176&gt;0, "Positive", "Negative")</f>
        <v>Negative</v>
      </c>
    </row>
    <row r="177" spans="1:11">
      <c r="A177" s="3" t="s">
        <v>48</v>
      </c>
      <c r="B177" s="5">
        <v>74679.350000000006</v>
      </c>
      <c r="C177" s="5">
        <v>8739</v>
      </c>
      <c r="D177" s="5">
        <v>91.8</v>
      </c>
      <c r="E177" s="5">
        <v>2.83</v>
      </c>
      <c r="F177" s="12">
        <v>0</v>
      </c>
      <c r="G177" s="12">
        <v>1</v>
      </c>
      <c r="H177" s="5">
        <v>783797.89</v>
      </c>
      <c r="I177" s="19">
        <f xml:space="preserve"> 147642.16
+ 1.2034 * B177
+ 33.6227 * C177
+ 2893.1764 * D177
- 2862.4094 * E177
+ 11558.4348 * F177
- 244.4477 * G177</f>
        <v>788588.59230800008</v>
      </c>
      <c r="J177" s="12">
        <f>H177-I177</f>
        <v>-4790.7023080000654</v>
      </c>
      <c r="K177" s="12" t="str">
        <f xml:space="preserve"> IF(J177&gt;0, "Positive", "Negative")</f>
        <v>Negative</v>
      </c>
    </row>
    <row r="178" spans="1:11">
      <c r="A178" s="3" t="s">
        <v>39</v>
      </c>
      <c r="B178" s="5">
        <v>60571.82</v>
      </c>
      <c r="C178" s="5">
        <v>3193</v>
      </c>
      <c r="D178" s="5">
        <v>99</v>
      </c>
      <c r="E178" s="5">
        <v>1.43</v>
      </c>
      <c r="F178" s="12">
        <v>0</v>
      </c>
      <c r="G178" s="12">
        <v>1</v>
      </c>
      <c r="H178" s="5">
        <v>605023.87</v>
      </c>
      <c r="I178" s="19">
        <f xml:space="preserve"> 147642.16
+ 1.2034 * B178
+ 33.6227 * C178
+ 2893.1764 * D178
- 2862.4094 * E178
+ 11558.4348 * F178
- 244.4477 * G178</f>
        <v>609978.3397459999</v>
      </c>
      <c r="J178" s="12">
        <f>H178-I178</f>
        <v>-4954.4697459999006</v>
      </c>
      <c r="K178" s="12" t="str">
        <f xml:space="preserve"> IF(J178&gt;0, "Positive", "Negative")</f>
        <v>Negative</v>
      </c>
    </row>
    <row r="179" spans="1:11">
      <c r="A179" s="3" t="s">
        <v>61</v>
      </c>
      <c r="B179" s="5">
        <v>86883.31</v>
      </c>
      <c r="C179" s="5">
        <v>6424</v>
      </c>
      <c r="D179" s="5">
        <v>85.2</v>
      </c>
      <c r="E179" s="5">
        <v>3.08</v>
      </c>
      <c r="F179" s="12">
        <v>0</v>
      </c>
      <c r="G179" s="12">
        <v>0</v>
      </c>
      <c r="H179" s="5">
        <v>700078.32</v>
      </c>
      <c r="I179" s="19">
        <f xml:space="preserve"> 147642.16
+ 1.2034 * B179
+ 33.6227 * C179
+ 2893.1764 * D179
- 2862.4094 * E179
+ 11558.4348 * F179
- 244.4477 * G179</f>
        <v>705872.16838199995</v>
      </c>
      <c r="J179" s="12">
        <f>H179-I179</f>
        <v>-5793.8483819999965</v>
      </c>
      <c r="K179" s="12" t="str">
        <f xml:space="preserve"> IF(J179&gt;0, "Positive", "Negative")</f>
        <v>Negative</v>
      </c>
    </row>
    <row r="180" spans="1:11">
      <c r="A180" s="3" t="s">
        <v>83</v>
      </c>
      <c r="B180" s="5">
        <v>48060.78</v>
      </c>
      <c r="C180" s="5">
        <v>8733</v>
      </c>
      <c r="D180" s="5">
        <v>89.9</v>
      </c>
      <c r="E180" s="5">
        <v>0.8</v>
      </c>
      <c r="F180" s="12">
        <v>0</v>
      </c>
      <c r="G180" s="12">
        <v>1</v>
      </c>
      <c r="H180" s="5">
        <v>750471.34</v>
      </c>
      <c r="I180" s="19">
        <f xml:space="preserve"> 147642.16
+ 1.2034 * B180
+ 33.6227 * C180
+ 2893.1764 * D180
- 2862.4094 * E180
+ 11558.4348 * F180
- 244.4477 * G180</f>
        <v>756667.72489199997</v>
      </c>
      <c r="J180" s="12">
        <f>H180-I180</f>
        <v>-6196.3848920000019</v>
      </c>
      <c r="K180" s="12" t="str">
        <f xml:space="preserve"> IF(J180&gt;0, "Positive", "Negative")</f>
        <v>Negative</v>
      </c>
    </row>
    <row r="181" spans="1:11">
      <c r="A181" s="3" t="s">
        <v>25</v>
      </c>
      <c r="B181" s="5">
        <v>62060.43</v>
      </c>
      <c r="C181" s="5">
        <v>2613</v>
      </c>
      <c r="D181" s="5">
        <v>92.1</v>
      </c>
      <c r="E181" s="5">
        <v>1.55</v>
      </c>
      <c r="F181" s="12">
        <v>0</v>
      </c>
      <c r="G181" s="12">
        <v>0</v>
      </c>
      <c r="H181" s="5">
        <v>565810.99</v>
      </c>
      <c r="I181" s="19">
        <f xml:space="preserve"> 147642.16
+ 1.2034 * B181
+ 33.6227 * C181
+ 2893.1764 * D181
- 2862.4094 * E181
+ 11558.4348 * F181
- 244.4477 * G181</f>
        <v>572206.60843199992</v>
      </c>
      <c r="J181" s="12">
        <f>H181-I181</f>
        <v>-6395.6184319999302</v>
      </c>
      <c r="K181" s="12" t="str">
        <f xml:space="preserve"> IF(J181&gt;0, "Positive", "Negative")</f>
        <v>Negative</v>
      </c>
    </row>
    <row r="182" spans="1:11">
      <c r="A182" s="3" t="s">
        <v>58</v>
      </c>
      <c r="B182" s="5">
        <v>60322.400000000001</v>
      </c>
      <c r="C182" s="5">
        <v>3350</v>
      </c>
      <c r="D182" s="5">
        <v>89.4</v>
      </c>
      <c r="E182" s="5">
        <v>4.92</v>
      </c>
      <c r="F182" s="12">
        <v>0</v>
      </c>
      <c r="G182" s="12">
        <v>0</v>
      </c>
      <c r="H182" s="5">
        <v>570964.84</v>
      </c>
      <c r="I182" s="19">
        <f xml:space="preserve"> 147642.16
+ 1.2034 * B182
+ 33.6227 * C182
+ 2893.1764 * D182
- 2862.4094 * E182
+ 11558.4348 * F182
- 244.4477 * G182</f>
        <v>577437.09707200003</v>
      </c>
      <c r="J182" s="12">
        <f>H182-I182</f>
        <v>-6472.2570720000658</v>
      </c>
      <c r="K182" s="12" t="str">
        <f xml:space="preserve"> IF(J182&gt;0, "Positive", "Negative")</f>
        <v>Negative</v>
      </c>
    </row>
    <row r="183" spans="1:11">
      <c r="A183" s="3" t="s">
        <v>36</v>
      </c>
      <c r="B183" s="5">
        <v>19365.060000000001</v>
      </c>
      <c r="C183" s="5">
        <v>2378</v>
      </c>
      <c r="D183" s="5">
        <v>94.8</v>
      </c>
      <c r="E183" s="5">
        <v>0.2</v>
      </c>
      <c r="F183" s="12">
        <v>0</v>
      </c>
      <c r="G183" s="12">
        <v>0</v>
      </c>
      <c r="H183" s="5">
        <v>518049.26</v>
      </c>
      <c r="I183" s="19">
        <f xml:space="preserve"> 147642.16
+ 1.2034 * B183
+ 33.6227 * C183
+ 2893.1764 * D183
- 2862.4094 * E183
+ 11558.4348 * F183
- 244.4477 * G183</f>
        <v>524601.49464400008</v>
      </c>
      <c r="J183" s="12">
        <f>H183-I183</f>
        <v>-6552.2346440000692</v>
      </c>
      <c r="K183" s="12" t="str">
        <f xml:space="preserve"> IF(J183&gt;0, "Positive", "Negative")</f>
        <v>Negative</v>
      </c>
    </row>
    <row r="184" spans="1:11">
      <c r="A184" s="3" t="s">
        <v>58</v>
      </c>
      <c r="B184" s="5">
        <v>53351.7</v>
      </c>
      <c r="C184" s="5">
        <v>4259</v>
      </c>
      <c r="D184" s="5">
        <v>93.7</v>
      </c>
      <c r="E184" s="5">
        <v>6.03</v>
      </c>
      <c r="F184" s="12">
        <v>0</v>
      </c>
      <c r="G184" s="12">
        <v>0</v>
      </c>
      <c r="H184" s="5">
        <v>601568.87</v>
      </c>
      <c r="I184" s="19">
        <f xml:space="preserve"> 147642.16
+ 1.2034 * B184
+ 33.6227 * C184
+ 2893.1764 * D184
- 2862.4094 * E184
+ 11558.4348 * F184
- 244.4477 * G184</f>
        <v>608874.97507799999</v>
      </c>
      <c r="J184" s="12">
        <f>H184-I184</f>
        <v>-7306.1050779999932</v>
      </c>
      <c r="K184" s="12" t="str">
        <f xml:space="preserve"> IF(J184&gt;0, "Positive", "Negative")</f>
        <v>Negative</v>
      </c>
    </row>
    <row r="185" spans="1:11">
      <c r="A185" s="3" t="s">
        <v>67</v>
      </c>
      <c r="B185" s="5">
        <v>57948.88</v>
      </c>
      <c r="C185" s="5">
        <v>10741</v>
      </c>
      <c r="D185" s="5">
        <v>90.1</v>
      </c>
      <c r="E185" s="5">
        <v>4.03</v>
      </c>
      <c r="F185" s="12">
        <v>0</v>
      </c>
      <c r="G185" s="12">
        <v>0</v>
      </c>
      <c r="H185" s="5">
        <v>819660.59</v>
      </c>
      <c r="I185" s="19">
        <f xml:space="preserve"> 147642.16
+ 1.2034 * B185
+ 33.6227 * C185
+ 2893.1764 * D185
- 2862.4094 * E185
+ 11558.4348 * F185
- 244.4477 * G185</f>
        <v>827658.94664999994</v>
      </c>
      <c r="J185" s="12">
        <f>H185-I185</f>
        <v>-7998.3566499999724</v>
      </c>
      <c r="K185" s="12" t="str">
        <f xml:space="preserve"> IF(J185&gt;0, "Positive", "Negative")</f>
        <v>Negative</v>
      </c>
    </row>
    <row r="186" spans="1:11">
      <c r="A186" s="3" t="s">
        <v>89</v>
      </c>
      <c r="B186" s="5">
        <v>61995.3</v>
      </c>
      <c r="C186" s="5">
        <v>10192</v>
      </c>
      <c r="D186" s="5">
        <v>87.6</v>
      </c>
      <c r="E186" s="5">
        <v>3.63</v>
      </c>
      <c r="F186" s="12">
        <v>0</v>
      </c>
      <c r="G186" s="12">
        <v>0</v>
      </c>
      <c r="H186" s="5">
        <v>799756.46</v>
      </c>
      <c r="I186" s="19">
        <f xml:space="preserve"> 147642.16
+ 1.2034 * B186
+ 33.6227 * C186
+ 2893.1764 * D186
- 2862.4094 * E186
+ 11558.4348 * F186
- 244.4477 * G186</f>
        <v>807981.56893800001</v>
      </c>
      <c r="J186" s="12">
        <f>H186-I186</f>
        <v>-8225.1089380000485</v>
      </c>
      <c r="K186" s="12" t="str">
        <f xml:space="preserve"> IF(J186&gt;0, "Positive", "Negative")</f>
        <v>Negative</v>
      </c>
    </row>
    <row r="187" spans="1:11">
      <c r="A187" s="3" t="s">
        <v>84</v>
      </c>
      <c r="B187" s="5">
        <v>72932.55</v>
      </c>
      <c r="C187" s="5">
        <v>5765</v>
      </c>
      <c r="D187" s="5">
        <v>81.8</v>
      </c>
      <c r="E187" s="5">
        <v>5.0999999999999996</v>
      </c>
      <c r="F187" s="12">
        <v>0</v>
      </c>
      <c r="G187" s="12">
        <v>1</v>
      </c>
      <c r="H187" s="5">
        <v>642751.42000000004</v>
      </c>
      <c r="I187" s="19">
        <f xml:space="preserve"> 147642.16
+ 1.2034 * B187
+ 33.6227 * C187
+ 2893.1764 * D187
- 2862.4094 * E187
+ 11558.4348 * F187
- 244.4477 * G187</f>
        <v>651063.15004999994</v>
      </c>
      <c r="J187" s="12">
        <f>H187-I187</f>
        <v>-8311.7300499998964</v>
      </c>
      <c r="K187" s="12" t="str">
        <f xml:space="preserve"> IF(J187&gt;0, "Positive", "Negative")</f>
        <v>Negative</v>
      </c>
    </row>
    <row r="188" spans="1:11">
      <c r="A188" s="3" t="s">
        <v>75</v>
      </c>
      <c r="B188" s="5">
        <v>35296.54</v>
      </c>
      <c r="C188" s="5">
        <v>9644</v>
      </c>
      <c r="D188" s="5">
        <v>88</v>
      </c>
      <c r="E188" s="5">
        <v>2.81</v>
      </c>
      <c r="F188" s="12">
        <v>0</v>
      </c>
      <c r="G188" s="12">
        <v>0</v>
      </c>
      <c r="H188" s="5">
        <v>752321.72</v>
      </c>
      <c r="I188" s="19">
        <f xml:space="preserve"> 147642.16
+ 1.2034 * B188
+ 33.6227 * C188
+ 2893.1764 * D188
- 2862.4094 * E188
+ 11558.4348 * F188
- 244.4477 * G188</f>
        <v>760931.48782199994</v>
      </c>
      <c r="J188" s="12">
        <f>H188-I188</f>
        <v>-8609.7678219999652</v>
      </c>
      <c r="K188" s="12" t="str">
        <f xml:space="preserve"> IF(J188&gt;0, "Positive", "Negative")</f>
        <v>Negative</v>
      </c>
    </row>
    <row r="189" spans="1:11">
      <c r="A189" s="3" t="s">
        <v>36</v>
      </c>
      <c r="B189" s="5">
        <v>59405.68</v>
      </c>
      <c r="C189" s="5">
        <v>2515</v>
      </c>
      <c r="D189" s="5">
        <v>76</v>
      </c>
      <c r="E189" s="5">
        <v>5.1100000000000003</v>
      </c>
      <c r="F189" s="12">
        <v>0</v>
      </c>
      <c r="G189" s="12">
        <v>0</v>
      </c>
      <c r="H189" s="5">
        <v>500298.48</v>
      </c>
      <c r="I189" s="19">
        <f xml:space="preserve"> 147642.16
+ 1.2034 * B189
+ 33.6227 * C189
+ 2893.1764 * D189
- 2862.4094 * E189
+ 11558.4348 * F189
- 244.4477 * G189</f>
        <v>508946.540178</v>
      </c>
      <c r="J189" s="12">
        <f>H189-I189</f>
        <v>-8648.0601780000143</v>
      </c>
      <c r="K189" s="12" t="str">
        <f xml:space="preserve"> IF(J189&gt;0, "Positive", "Negative")</f>
        <v>Negative</v>
      </c>
    </row>
    <row r="190" spans="1:11">
      <c r="A190" s="3" t="s">
        <v>77</v>
      </c>
      <c r="B190" s="5">
        <v>66962.740000000005</v>
      </c>
      <c r="C190" s="5">
        <v>7880</v>
      </c>
      <c r="D190" s="5">
        <v>90.4</v>
      </c>
      <c r="E190" s="5">
        <v>4.5</v>
      </c>
      <c r="F190" s="12">
        <v>0</v>
      </c>
      <c r="G190" s="12">
        <v>1</v>
      </c>
      <c r="H190" s="5">
        <v>732667.92</v>
      </c>
      <c r="I190" s="19">
        <f xml:space="preserve"> 147642.16
+ 1.2034 * B190
+ 33.6227 * C190
+ 2893.1764 * D190
- 2862.4094 * E190
+ 11558.4348 * F190
- 244.4477 * G190</f>
        <v>741589.85387599992</v>
      </c>
      <c r="J190" s="12">
        <f>H190-I190</f>
        <v>-8921.9338759998791</v>
      </c>
      <c r="K190" s="12" t="str">
        <f xml:space="preserve"> IF(J190&gt;0, "Positive", "Negative")</f>
        <v>Negative</v>
      </c>
    </row>
    <row r="191" spans="1:11">
      <c r="A191" s="3" t="s">
        <v>19</v>
      </c>
      <c r="B191" s="5">
        <v>68133.440000000002</v>
      </c>
      <c r="C191" s="5">
        <v>9459</v>
      </c>
      <c r="D191" s="5">
        <v>85</v>
      </c>
      <c r="E191" s="5">
        <v>1.91</v>
      </c>
      <c r="F191" s="12">
        <v>0</v>
      </c>
      <c r="G191" s="12">
        <v>0</v>
      </c>
      <c r="H191" s="5">
        <v>779010.94</v>
      </c>
      <c r="I191" s="19">
        <f xml:space="preserve"> 147642.16
+ 1.2034 * B191
+ 33.6227 * C191
+ 2893.1764 * D191
- 2862.4094 * E191
+ 11558.4348 * F191
- 244.4477 * G191</f>
        <v>788123.85304199986</v>
      </c>
      <c r="J191" s="12">
        <f>H191-I191</f>
        <v>-9112.9130419999128</v>
      </c>
      <c r="K191" s="12" t="str">
        <f xml:space="preserve"> IF(J191&gt;0, "Positive", "Negative")</f>
        <v>Negative</v>
      </c>
    </row>
    <row r="192" spans="1:11">
      <c r="A192" s="3" t="s">
        <v>42</v>
      </c>
      <c r="B192" s="5">
        <v>60881.01</v>
      </c>
      <c r="C192" s="5">
        <v>5410</v>
      </c>
      <c r="D192" s="5">
        <v>83.9</v>
      </c>
      <c r="E192" s="5">
        <v>5.24</v>
      </c>
      <c r="F192" s="12">
        <v>0</v>
      </c>
      <c r="G192" s="12">
        <v>0</v>
      </c>
      <c r="H192" s="5">
        <v>621369.57999999996</v>
      </c>
      <c r="I192" s="19">
        <f xml:space="preserve"> 147642.16
+ 1.2034 * B192
+ 33.6227 * C192
+ 2893.1764 * D192
- 2862.4094 * E192
+ 11558.4348 * F192
- 244.4477 * G192</f>
        <v>630543.6491380001</v>
      </c>
      <c r="J192" s="12">
        <f>H192-I192</f>
        <v>-9174.0691380001372</v>
      </c>
      <c r="K192" s="12" t="str">
        <f xml:space="preserve"> IF(J192&gt;0, "Positive", "Negative")</f>
        <v>Negative</v>
      </c>
    </row>
    <row r="193" spans="1:11">
      <c r="A193" s="3" t="s">
        <v>93</v>
      </c>
      <c r="B193" s="5">
        <v>55371.97</v>
      </c>
      <c r="C193" s="5">
        <v>4162</v>
      </c>
      <c r="D193" s="5">
        <v>92</v>
      </c>
      <c r="E193" s="5">
        <v>0.2</v>
      </c>
      <c r="F193" s="12">
        <v>0</v>
      </c>
      <c r="G193" s="12">
        <v>0</v>
      </c>
      <c r="H193" s="5">
        <v>609949</v>
      </c>
      <c r="I193" s="19">
        <f xml:space="preserve"> 147642.16
+ 1.2034 * B193
+ 33.6227 * C193
+ 2893.1764 * D193
- 2862.4094 * E193
+ 11558.4348 * F193
- 244.4477 * G193</f>
        <v>619814.21301800001</v>
      </c>
      <c r="J193" s="12">
        <f>H193-I193</f>
        <v>-9865.2130180000095</v>
      </c>
      <c r="K193" s="12" t="str">
        <f xml:space="preserve"> IF(J193&gt;0, "Positive", "Negative")</f>
        <v>Negative</v>
      </c>
    </row>
    <row r="194" spans="1:11">
      <c r="A194" s="3" t="s">
        <v>101</v>
      </c>
      <c r="B194" s="5">
        <v>24088.06</v>
      </c>
      <c r="C194" s="5">
        <v>3466</v>
      </c>
      <c r="D194" s="5">
        <v>88</v>
      </c>
      <c r="E194" s="5">
        <v>0.2</v>
      </c>
      <c r="F194" s="12">
        <v>0</v>
      </c>
      <c r="G194" s="12">
        <v>0</v>
      </c>
      <c r="H194" s="5">
        <v>536845.42000000004</v>
      </c>
      <c r="I194" s="19">
        <f xml:space="preserve"> 147642.16
+ 1.2034 * B194
+ 33.6227 * C194
+ 2893.1764 * D194
- 2862.4094 * E194
+ 11558.4348 * F194
- 244.4477 * G194</f>
        <v>547193.05092399998</v>
      </c>
      <c r="J194" s="12">
        <f>H194-I194</f>
        <v>-10347.630923999939</v>
      </c>
      <c r="K194" s="12" t="str">
        <f xml:space="preserve"> IF(J194&gt;0, "Positive", "Negative")</f>
        <v>Negative</v>
      </c>
    </row>
    <row r="195" spans="1:11">
      <c r="A195" s="3" t="s">
        <v>53</v>
      </c>
      <c r="B195" s="5">
        <v>37828.5</v>
      </c>
      <c r="C195" s="5">
        <v>8221</v>
      </c>
      <c r="D195" s="5">
        <v>81.5</v>
      </c>
      <c r="E195" s="5">
        <v>3.19</v>
      </c>
      <c r="F195" s="12">
        <v>1</v>
      </c>
      <c r="G195" s="12">
        <v>1</v>
      </c>
      <c r="H195" s="5">
        <v>697155.3</v>
      </c>
      <c r="I195" s="19">
        <f xml:space="preserve"> 147642.16
+ 1.2034 * B195
+ 33.6227 * C195
+ 2893.1764 * D195
- 2862.4094 * E195
+ 11558.4348 * F195
- 244.4477 * G195</f>
        <v>707553.97131399997</v>
      </c>
      <c r="J195" s="12">
        <f>H195-I195</f>
        <v>-10398.671313999919</v>
      </c>
      <c r="K195" s="12" t="str">
        <f xml:space="preserve"> IF(J195&gt;0, "Positive", "Negative")</f>
        <v>Negative</v>
      </c>
    </row>
    <row r="196" spans="1:11">
      <c r="A196" s="3" t="s">
        <v>45</v>
      </c>
      <c r="B196" s="5">
        <v>9534.65</v>
      </c>
      <c r="C196" s="5">
        <v>6057</v>
      </c>
      <c r="D196" s="5">
        <v>94.1</v>
      </c>
      <c r="E196" s="5">
        <v>5.79</v>
      </c>
      <c r="F196" s="12">
        <v>0</v>
      </c>
      <c r="G196" s="12">
        <v>0</v>
      </c>
      <c r="H196" s="5">
        <v>607898.12</v>
      </c>
      <c r="I196" s="19">
        <f xml:space="preserve"> 147642.16
+ 1.2034 * B196
+ 33.6227 * C196
+ 2893.1764 * D196
- 2862.4094 * E196
+ 11558.4348 * F196
- 244.4477 * G196</f>
        <v>618443.40052400006</v>
      </c>
      <c r="J196" s="12">
        <f>H196-I196</f>
        <v>-10545.28052400006</v>
      </c>
      <c r="K196" s="12" t="str">
        <f xml:space="preserve"> IF(J196&gt;0, "Positive", "Negative")</f>
        <v>Negative</v>
      </c>
    </row>
    <row r="197" spans="1:11">
      <c r="A197" s="3" t="s">
        <v>71</v>
      </c>
      <c r="B197" s="5">
        <v>54002.83</v>
      </c>
      <c r="C197" s="5">
        <v>4366</v>
      </c>
      <c r="D197" s="5">
        <v>90.6</v>
      </c>
      <c r="E197" s="5">
        <v>12.82</v>
      </c>
      <c r="F197" s="12">
        <v>0</v>
      </c>
      <c r="G197" s="12">
        <v>0</v>
      </c>
      <c r="H197" s="5">
        <v>574066.61</v>
      </c>
      <c r="I197" s="19">
        <f xml:space="preserve"> 147642.16
+ 1.2034 * B197
+ 33.6227 * C197
+ 2893.1764 * D197
- 2862.4094 * E197
+ 11558.4348 * F197
- 244.4477 * G197</f>
        <v>584851.56715399993</v>
      </c>
      <c r="J197" s="12">
        <f>H197-I197</f>
        <v>-10784.957153999945</v>
      </c>
      <c r="K197" s="12" t="str">
        <f xml:space="preserve"> IF(J197&gt;0, "Positive", "Negative")</f>
        <v>Negative</v>
      </c>
    </row>
    <row r="198" spans="1:11">
      <c r="A198" s="3" t="s">
        <v>97</v>
      </c>
      <c r="B198" s="5">
        <v>40647.67</v>
      </c>
      <c r="C198" s="5">
        <v>8252</v>
      </c>
      <c r="D198" s="5">
        <v>88.2</v>
      </c>
      <c r="E198" s="5">
        <v>5.07</v>
      </c>
      <c r="F198" s="12">
        <v>0</v>
      </c>
      <c r="G198" s="12">
        <v>0</v>
      </c>
      <c r="H198" s="5">
        <v>703812.99</v>
      </c>
      <c r="I198" s="19">
        <f xml:space="preserve"> 147642.16
+ 1.2034 * B198
+ 33.6227 * C198
+ 2893.1764 * D198
- 2862.4094 * E198
+ 11558.4348 * F198
- 244.4477 * G198</f>
        <v>714677.82929999998</v>
      </c>
      <c r="J198" s="12">
        <f>H198-I198</f>
        <v>-10864.839299999992</v>
      </c>
      <c r="K198" s="12" t="str">
        <f xml:space="preserve"> IF(J198&gt;0, "Positive", "Negative")</f>
        <v>Negative</v>
      </c>
    </row>
    <row r="199" spans="1:11">
      <c r="A199" s="3" t="s">
        <v>41</v>
      </c>
      <c r="B199" s="5">
        <v>56973.18</v>
      </c>
      <c r="C199" s="5">
        <v>6662</v>
      </c>
      <c r="D199" s="5">
        <v>77.7</v>
      </c>
      <c r="E199" s="5">
        <v>7.52</v>
      </c>
      <c r="F199" s="12">
        <v>1</v>
      </c>
      <c r="G199" s="12">
        <v>1</v>
      </c>
      <c r="H199" s="5">
        <v>643657.47</v>
      </c>
      <c r="I199" s="19">
        <f xml:space="preserve"> 147642.16
+ 1.2034 * B199
+ 33.6227 * C199
+ 2893.1764 * D199
- 2862.4094 * E199
+ 11558.4348 * F199
- 244.4477 * G199</f>
        <v>654786.58690400014</v>
      </c>
      <c r="J199" s="12">
        <f>H199-I199</f>
        <v>-11129.11690400017</v>
      </c>
      <c r="K199" s="12" t="str">
        <f xml:space="preserve"> IF(J199&gt;0, "Positive", "Negative")</f>
        <v>Negative</v>
      </c>
    </row>
    <row r="200" spans="1:11">
      <c r="A200" s="3" t="s">
        <v>84</v>
      </c>
      <c r="B200" s="5">
        <v>38361.93</v>
      </c>
      <c r="C200" s="5">
        <v>6322</v>
      </c>
      <c r="D200" s="5">
        <v>88.4</v>
      </c>
      <c r="E200" s="5">
        <v>0.83</v>
      </c>
      <c r="F200" s="12">
        <v>0</v>
      </c>
      <c r="G200" s="12">
        <v>1</v>
      </c>
      <c r="H200" s="5">
        <v>647953.78</v>
      </c>
      <c r="I200" s="19">
        <f xml:space="preserve"> 147642.16
+ 1.2034 * B200
+ 33.6227 * C200
+ 2893.1764 * D200
- 2862.4094 * E200
+ 11558.4348 * F200
- 244.4477 * G200</f>
        <v>659506.16221999994</v>
      </c>
      <c r="J200" s="12">
        <f>H200-I200</f>
        <v>-11552.382219999912</v>
      </c>
      <c r="K200" s="12" t="str">
        <f xml:space="preserve"> IF(J200&gt;0, "Positive", "Negative")</f>
        <v>Negative</v>
      </c>
    </row>
    <row r="201" spans="1:11">
      <c r="A201" s="3" t="s">
        <v>67</v>
      </c>
      <c r="B201" s="5">
        <v>63010.23</v>
      </c>
      <c r="C201" s="5">
        <v>9812</v>
      </c>
      <c r="D201" s="5">
        <v>76.8</v>
      </c>
      <c r="E201" s="5">
        <v>1.02</v>
      </c>
      <c r="F201" s="12">
        <v>0</v>
      </c>
      <c r="G201" s="12">
        <v>0</v>
      </c>
      <c r="H201" s="5">
        <v>761077.08</v>
      </c>
      <c r="I201" s="19">
        <f xml:space="preserve"> 147642.16
+ 1.2034 * B201
+ 33.6227 * C201
+ 2893.1764 * D201
- 2862.4094 * E201
+ 11558.4348 * F201
- 244.4477 * G201</f>
        <v>772650.89311400009</v>
      </c>
      <c r="J201" s="12">
        <f>H201-I201</f>
        <v>-11573.813114000135</v>
      </c>
      <c r="K201" s="12" t="str">
        <f xml:space="preserve"> IF(J201&gt;0, "Positive", "Negative")</f>
        <v>Negative</v>
      </c>
    </row>
    <row r="202" spans="1:11">
      <c r="A202" s="3" t="s">
        <v>101</v>
      </c>
      <c r="B202" s="5">
        <v>81902.58</v>
      </c>
      <c r="C202" s="5">
        <v>7775</v>
      </c>
      <c r="D202" s="5">
        <v>85.2</v>
      </c>
      <c r="E202" s="5">
        <v>4.8899999999999997</v>
      </c>
      <c r="F202" s="12">
        <v>0</v>
      </c>
      <c r="G202" s="12">
        <v>0</v>
      </c>
      <c r="H202" s="5">
        <v>726776.22</v>
      </c>
      <c r="I202" s="19">
        <f xml:space="preserve"> 147642.16
+ 1.2034 * B202
+ 33.6227 * C202
+ 2893.1764 * D202
- 2862.4094 * E202
+ 11558.4348 * F202
- 244.4477 * G202</f>
        <v>740121.66458600003</v>
      </c>
      <c r="J202" s="12">
        <f>H202-I202</f>
        <v>-13345.444586000056</v>
      </c>
      <c r="K202" s="12" t="str">
        <f xml:space="preserve"> IF(J202&gt;0, "Positive", "Negative")</f>
        <v>Negative</v>
      </c>
    </row>
    <row r="203" spans="1:11">
      <c r="A203" s="3" t="s">
        <v>38</v>
      </c>
      <c r="B203" s="5">
        <v>70040.31</v>
      </c>
      <c r="C203" s="5">
        <v>9175</v>
      </c>
      <c r="D203" s="5">
        <v>95.1</v>
      </c>
      <c r="E203" s="5">
        <v>6.08</v>
      </c>
      <c r="F203" s="12">
        <v>0</v>
      </c>
      <c r="G203" s="12">
        <v>1</v>
      </c>
      <c r="H203" s="5">
        <v>784502.68</v>
      </c>
      <c r="I203" s="19">
        <f xml:space="preserve"> 147642.16
+ 1.2034 * B203
+ 33.6227 * C203
+ 2893.1764 * D203
- 2862.4094 * E203
+ 11558.4348 * F203
- 244.4477 * G203</f>
        <v>797910.12034200004</v>
      </c>
      <c r="J203" s="12">
        <f>H203-I203</f>
        <v>-13407.440341999987</v>
      </c>
      <c r="K203" s="12" t="str">
        <f xml:space="preserve"> IF(J203&gt;0, "Positive", "Negative")</f>
        <v>Negative</v>
      </c>
    </row>
    <row r="204" spans="1:11">
      <c r="A204" s="3" t="s">
        <v>64</v>
      </c>
      <c r="B204" s="5">
        <v>62059.18</v>
      </c>
      <c r="C204" s="5">
        <v>9374</v>
      </c>
      <c r="D204" s="5">
        <v>87.1</v>
      </c>
      <c r="E204" s="5">
        <v>12.55</v>
      </c>
      <c r="F204" s="12">
        <v>0</v>
      </c>
      <c r="G204" s="12">
        <v>0</v>
      </c>
      <c r="H204" s="5">
        <v>739831.73</v>
      </c>
      <c r="I204" s="19">
        <f xml:space="preserve"> 147642.16
+ 1.2034 * B204
+ 33.6227 * C204
+ 2893.1764 * D204
- 2862.4094 * E204
+ 11558.4348 * F204
- 244.4477 * G204</f>
        <v>753575.79348199989</v>
      </c>
      <c r="J204" s="12">
        <f>H204-I204</f>
        <v>-13744.06348199991</v>
      </c>
      <c r="K204" s="12" t="str">
        <f xml:space="preserve"> IF(J204&gt;0, "Positive", "Negative")</f>
        <v>Negative</v>
      </c>
    </row>
    <row r="205" spans="1:11">
      <c r="A205" s="3" t="s">
        <v>77</v>
      </c>
      <c r="B205" s="5">
        <v>27194.639999999999</v>
      </c>
      <c r="C205" s="5">
        <v>7404</v>
      </c>
      <c r="D205" s="5">
        <v>90.2</v>
      </c>
      <c r="E205" s="5">
        <v>1.2</v>
      </c>
      <c r="F205" s="12">
        <v>0</v>
      </c>
      <c r="G205" s="12">
        <v>1</v>
      </c>
      <c r="H205" s="5">
        <v>672670.54</v>
      </c>
      <c r="I205" s="19">
        <f xml:space="preserve"> 147642.16
+ 1.2034 * B205
+ 33.6227 * C205
+ 2893.1764 * D205
- 2862.4094 * E205
+ 11558.4348 * F205
- 244.4477 * G205</f>
        <v>686595.83287599997</v>
      </c>
      <c r="J205" s="12">
        <f>H205-I205</f>
        <v>-13925.292875999934</v>
      </c>
      <c r="K205" s="12" t="str">
        <f xml:space="preserve"> IF(J205&gt;0, "Positive", "Negative")</f>
        <v>Negative</v>
      </c>
    </row>
    <row r="206" spans="1:11">
      <c r="A206" s="3" t="s">
        <v>94</v>
      </c>
      <c r="B206" s="5">
        <v>54080.91</v>
      </c>
      <c r="C206" s="5">
        <v>7083</v>
      </c>
      <c r="D206" s="5">
        <v>97</v>
      </c>
      <c r="E206" s="5">
        <v>5.33</v>
      </c>
      <c r="F206" s="12">
        <v>0</v>
      </c>
      <c r="G206" s="12">
        <v>0</v>
      </c>
      <c r="H206" s="5">
        <v>702068.92</v>
      </c>
      <c r="I206" s="19">
        <f xml:space="preserve"> 147642.16
+ 1.2034 * B206
+ 33.6227 * C206
+ 2893.1764 * D206
- 2862.4094 * E206
+ 11558.4348 * F206
- 244.4477 * G206</f>
        <v>716254.17989199993</v>
      </c>
      <c r="J206" s="12">
        <f>H206-I206</f>
        <v>-14185.259891999885</v>
      </c>
      <c r="K206" s="12" t="str">
        <f xml:space="preserve"> IF(J206&gt;0, "Positive", "Negative")</f>
        <v>Negative</v>
      </c>
    </row>
    <row r="207" spans="1:11">
      <c r="A207" s="3" t="s">
        <v>60</v>
      </c>
      <c r="B207" s="5">
        <v>42698.14</v>
      </c>
      <c r="C207" s="5">
        <v>7693</v>
      </c>
      <c r="D207" s="5">
        <v>90.1</v>
      </c>
      <c r="E207" s="5">
        <v>0.44</v>
      </c>
      <c r="F207" s="12">
        <v>0</v>
      </c>
      <c r="G207" s="12">
        <v>1</v>
      </c>
      <c r="H207" s="5">
        <v>702318.94</v>
      </c>
      <c r="I207" s="19">
        <f xml:space="preserve"> 147642.16
+ 1.2034 * B207
+ 33.6227 * C207
+ 2893.1764 * D207
- 2862.4094 * E207
+ 11558.4348 * F207
- 244.4477 * G207</f>
        <v>716855.81857999996</v>
      </c>
      <c r="J207" s="12">
        <f>H207-I207</f>
        <v>-14536.878580000019</v>
      </c>
      <c r="K207" s="12" t="str">
        <f xml:space="preserve"> IF(J207&gt;0, "Positive", "Negative")</f>
        <v>Negative</v>
      </c>
    </row>
    <row r="208" spans="1:11">
      <c r="A208" s="3" t="s">
        <v>26</v>
      </c>
      <c r="B208" s="5">
        <v>57696.69</v>
      </c>
      <c r="C208" s="5">
        <v>10218</v>
      </c>
      <c r="D208" s="5">
        <v>94.8</v>
      </c>
      <c r="E208" s="5">
        <v>2.99</v>
      </c>
      <c r="F208" s="12">
        <v>0</v>
      </c>
      <c r="G208" s="12">
        <v>0</v>
      </c>
      <c r="H208" s="5">
        <v>811771.14</v>
      </c>
      <c r="I208" s="19">
        <f xml:space="preserve"> 147642.16
+ 1.2034 * B208
+ 33.6227 * C208
+ 2893.1764 * D208
- 2862.4094 * E208
+ 11558.4348 * F208
- 244.4477 * G208</f>
        <v>826345.62396</v>
      </c>
      <c r="J208" s="12">
        <f>H208-I208</f>
        <v>-14574.483959999983</v>
      </c>
      <c r="K208" s="12" t="str">
        <f xml:space="preserve"> IF(J208&gt;0, "Positive", "Negative")</f>
        <v>Negative</v>
      </c>
    </row>
    <row r="209" spans="1:11">
      <c r="A209" s="3" t="s">
        <v>93</v>
      </c>
      <c r="B209" s="5">
        <v>74539.14</v>
      </c>
      <c r="C209" s="5">
        <v>4487</v>
      </c>
      <c r="D209" s="5">
        <v>90.4</v>
      </c>
      <c r="E209" s="5">
        <v>0.59</v>
      </c>
      <c r="F209" s="12">
        <v>0</v>
      </c>
      <c r="G209" s="12">
        <v>0</v>
      </c>
      <c r="H209" s="5">
        <v>633009.53</v>
      </c>
      <c r="I209" s="19">
        <f xml:space="preserve"> 147642.16
+ 1.2034 * B209
+ 33.6227 * C209
+ 2893.1764 * D209
- 2862.4094 * E209
+ 11558.4348 * F209
- 244.4477 * G209</f>
        <v>648061.94099000003</v>
      </c>
      <c r="J209" s="12">
        <f>H209-I209</f>
        <v>-15052.410990000004</v>
      </c>
      <c r="K209" s="12" t="str">
        <f xml:space="preserve"> IF(J209&gt;0, "Positive", "Negative")</f>
        <v>Negative</v>
      </c>
    </row>
    <row r="210" spans="1:11">
      <c r="A210" s="3" t="s">
        <v>45</v>
      </c>
      <c r="B210" s="5">
        <v>38966.589999999997</v>
      </c>
      <c r="C210" s="5">
        <v>4509</v>
      </c>
      <c r="D210" s="5">
        <v>91.1</v>
      </c>
      <c r="E210" s="5">
        <v>2.92</v>
      </c>
      <c r="F210" s="12">
        <v>0</v>
      </c>
      <c r="G210" s="12">
        <v>0</v>
      </c>
      <c r="H210" s="5">
        <v>585937.48</v>
      </c>
      <c r="I210" s="19">
        <f xml:space="preserve"> 147642.16
+ 1.2034 * B210
+ 33.6227 * C210
+ 2893.1764 * D210
- 2862.4094 * E210
+ 11558.4348 * F210
- 244.4477 * G210</f>
        <v>601349.44329799991</v>
      </c>
      <c r="J210" s="12">
        <f>H210-I210</f>
        <v>-15411.96329799993</v>
      </c>
      <c r="K210" s="12" t="str">
        <f xml:space="preserve"> IF(J210&gt;0, "Positive", "Negative")</f>
        <v>Negative</v>
      </c>
    </row>
    <row r="211" spans="1:11">
      <c r="A211" s="3" t="s">
        <v>30</v>
      </c>
      <c r="B211" s="5">
        <v>74413.88</v>
      </c>
      <c r="C211" s="5">
        <v>9449</v>
      </c>
      <c r="D211" s="5">
        <v>92.1</v>
      </c>
      <c r="E211" s="5">
        <v>2.12</v>
      </c>
      <c r="F211" s="12">
        <v>0</v>
      </c>
      <c r="G211" s="12">
        <v>0</v>
      </c>
      <c r="H211" s="5">
        <v>798952.17</v>
      </c>
      <c r="I211" s="19">
        <f xml:space="preserve"> 147642.16
+ 1.2034 * B211
+ 33.6227 * C211
+ 2893.1764 * D211
- 2862.4094 * E211
+ 11558.4348 * F211
- 244.4477 * G211</f>
        <v>815285.95400399994</v>
      </c>
      <c r="J211" s="12">
        <f>H211-I211</f>
        <v>-16333.784003999899</v>
      </c>
      <c r="K211" s="12" t="str">
        <f xml:space="preserve"> IF(J211&gt;0, "Positive", "Negative")</f>
        <v>Negative</v>
      </c>
    </row>
    <row r="212" spans="1:11">
      <c r="A212" s="3" t="s">
        <v>90</v>
      </c>
      <c r="B212" s="5">
        <v>47648.71</v>
      </c>
      <c r="C212" s="5">
        <v>5767</v>
      </c>
      <c r="D212" s="5">
        <v>89.8</v>
      </c>
      <c r="E212" s="5">
        <v>1.76</v>
      </c>
      <c r="F212" s="12">
        <v>0</v>
      </c>
      <c r="G212" s="12">
        <v>1</v>
      </c>
      <c r="H212" s="5">
        <v>635837.74</v>
      </c>
      <c r="I212" s="19">
        <f xml:space="preserve"> 147642.16
+ 1.2034 * B212
+ 33.6227 * C212
+ 2893.1764 * D212
- 2862.4094 * E212
+ 11558.4348 * F212
- 244.4477 * G212</f>
        <v>653409.68098999991</v>
      </c>
      <c r="J212" s="12">
        <f>H212-I212</f>
        <v>-17571.940989999915</v>
      </c>
      <c r="K212" s="12" t="str">
        <f xml:space="preserve"> IF(J212&gt;0, "Positive", "Negative")</f>
        <v>Negative</v>
      </c>
    </row>
    <row r="213" spans="1:11">
      <c r="A213" s="3" t="s">
        <v>74</v>
      </c>
      <c r="B213" s="5">
        <v>107970.19</v>
      </c>
      <c r="C213" s="5">
        <v>12870</v>
      </c>
      <c r="D213" s="5">
        <v>91.7</v>
      </c>
      <c r="E213" s="5">
        <v>3.82</v>
      </c>
      <c r="F213" s="12">
        <v>0</v>
      </c>
      <c r="G213" s="12">
        <v>1</v>
      </c>
      <c r="H213" s="5">
        <v>946833.54</v>
      </c>
      <c r="I213" s="19">
        <f xml:space="preserve"> 147642.16
+ 1.2034 * B213
+ 33.6227 * C213
+ 2893.1764 * D213
- 2862.4094 * E213
+ 11558.4348 * F213
- 244.4477 * G213</f>
        <v>964423.05991800001</v>
      </c>
      <c r="J213" s="12">
        <f>H213-I213</f>
        <v>-17589.519917999976</v>
      </c>
      <c r="K213" s="12" t="str">
        <f xml:space="preserve"> IF(J213&gt;0, "Positive", "Negative")</f>
        <v>Negative</v>
      </c>
    </row>
    <row r="214" spans="1:11">
      <c r="A214" s="3" t="s">
        <v>58</v>
      </c>
      <c r="B214" s="5">
        <v>50909.27</v>
      </c>
      <c r="C214" s="5">
        <v>3152</v>
      </c>
      <c r="D214" s="5">
        <v>93.7</v>
      </c>
      <c r="E214" s="5">
        <v>10.79</v>
      </c>
      <c r="F214" s="12">
        <v>0</v>
      </c>
      <c r="G214" s="12">
        <v>0</v>
      </c>
      <c r="H214" s="5">
        <v>537058.32999999996</v>
      </c>
      <c r="I214" s="19">
        <f xml:space="preserve"> 147642.16
+ 1.2034 * B214
+ 33.6227 * C214
+ 2893.1764 * D214
- 2862.4094 * E214
+ 11558.4348 * F214
- 244.4477 * G214</f>
        <v>555090.35717199999</v>
      </c>
      <c r="J214" s="12">
        <f>H214-I214</f>
        <v>-18032.027172000031</v>
      </c>
      <c r="K214" s="12" t="str">
        <f xml:space="preserve"> IF(J214&gt;0, "Positive", "Negative")</f>
        <v>Negative</v>
      </c>
    </row>
    <row r="215" spans="1:11">
      <c r="A215" s="3" t="s">
        <v>72</v>
      </c>
      <c r="B215" s="5">
        <v>22312.93</v>
      </c>
      <c r="C215" s="5">
        <v>5955</v>
      </c>
      <c r="D215" s="5">
        <v>84.2</v>
      </c>
      <c r="E215" s="5">
        <v>0.41</v>
      </c>
      <c r="F215" s="12">
        <v>0</v>
      </c>
      <c r="G215" s="12">
        <v>0</v>
      </c>
      <c r="H215" s="5">
        <v>598904.9</v>
      </c>
      <c r="I215" s="19">
        <f xml:space="preserve"> 147642.16
+ 1.2034 * B215
+ 33.6227 * C215
+ 2893.1764 * D215
- 2862.4094 * E215
+ 11558.4348 * F215
- 244.4477 * G215</f>
        <v>617148.58348799997</v>
      </c>
      <c r="J215" s="12">
        <f>H215-I215</f>
        <v>-18243.683487999951</v>
      </c>
      <c r="K215" s="12" t="str">
        <f xml:space="preserve"> IF(J215&gt;0, "Positive", "Negative")</f>
        <v>Negative</v>
      </c>
    </row>
    <row r="216" spans="1:11">
      <c r="A216" s="3" t="s">
        <v>65</v>
      </c>
      <c r="B216" s="5">
        <v>68040.149999999994</v>
      </c>
      <c r="C216" s="5">
        <v>9826</v>
      </c>
      <c r="D216" s="5">
        <v>83.9</v>
      </c>
      <c r="E216" s="5">
        <v>9.1199999999999992</v>
      </c>
      <c r="F216" s="12">
        <v>0</v>
      </c>
      <c r="G216" s="12">
        <v>0</v>
      </c>
      <c r="H216" s="5">
        <v>758138.29</v>
      </c>
      <c r="I216" s="19">
        <f xml:space="preserve"> 147642.16
+ 1.2034 * B216
+ 33.6227 * C216
+ 2893.1764 * D216
- 2862.4094 * E216
+ 11558.4348 * F216
- 244.4477 * G216</f>
        <v>776530.65294200007</v>
      </c>
      <c r="J216" s="12">
        <f>H216-I216</f>
        <v>-18392.362942000036</v>
      </c>
      <c r="K216" s="12" t="str">
        <f xml:space="preserve"> IF(J216&gt;0, "Positive", "Negative")</f>
        <v>Negative</v>
      </c>
    </row>
    <row r="217" spans="1:11">
      <c r="A217" s="3" t="s">
        <v>54</v>
      </c>
      <c r="B217" s="5">
        <v>68410.929999999993</v>
      </c>
      <c r="C217" s="5">
        <v>10596</v>
      </c>
      <c r="D217" s="5">
        <v>81.2</v>
      </c>
      <c r="E217" s="5">
        <v>0.21</v>
      </c>
      <c r="F217" s="12">
        <v>0</v>
      </c>
      <c r="G217" s="12">
        <v>1</v>
      </c>
      <c r="H217" s="5">
        <v>801830.35</v>
      </c>
      <c r="I217" s="19">
        <f xml:space="preserve"> 147642.16
+ 1.2034 * B217
+ 33.6227 * C217
+ 2893.1764 * D217
- 2862.4094 * E217
+ 11558.4348 * F217
- 244.4477 * G217</f>
        <v>820314.3723680001</v>
      </c>
      <c r="J217" s="12">
        <f>H217-I217</f>
        <v>-18484.022368000122</v>
      </c>
      <c r="K217" s="12" t="str">
        <f xml:space="preserve"> IF(J217&gt;0, "Positive", "Negative")</f>
        <v>Negative</v>
      </c>
    </row>
    <row r="218" spans="1:11">
      <c r="A218" s="3" t="s">
        <v>37</v>
      </c>
      <c r="B218" s="5">
        <v>50343.19</v>
      </c>
      <c r="C218" s="5">
        <v>3845</v>
      </c>
      <c r="D218" s="5">
        <v>88.7</v>
      </c>
      <c r="E218" s="5">
        <v>5.15</v>
      </c>
      <c r="F218" s="12">
        <v>1</v>
      </c>
      <c r="G218" s="12">
        <v>1</v>
      </c>
      <c r="H218" s="5">
        <v>572011.19999999995</v>
      </c>
      <c r="I218" s="19">
        <f xml:space="preserve"> 147642.16
+ 1.2034 * B218
+ 33.6227 * C218
+ 2893.1764 * D218
- 2862.4094 * E218
+ 11558.4348 * F218
- 244.4477 * G218</f>
        <v>590701.76171600004</v>
      </c>
      <c r="J218" s="12">
        <f>H218-I218</f>
        <v>-18690.561716000084</v>
      </c>
      <c r="K218" s="12" t="str">
        <f xml:space="preserve"> IF(J218&gt;0, "Positive", "Negative")</f>
        <v>Negative</v>
      </c>
    </row>
    <row r="219" spans="1:11">
      <c r="A219" s="3" t="s">
        <v>29</v>
      </c>
      <c r="B219" s="5">
        <v>63176.73</v>
      </c>
      <c r="C219" s="5">
        <v>2390</v>
      </c>
      <c r="D219" s="5">
        <v>87.5</v>
      </c>
      <c r="E219" s="5">
        <v>0.31</v>
      </c>
      <c r="F219" s="12">
        <v>0</v>
      </c>
      <c r="G219" s="12">
        <v>0</v>
      </c>
      <c r="H219" s="5">
        <v>537383.79</v>
      </c>
      <c r="I219" s="19">
        <f xml:space="preserve"> 147642.16
+ 1.2034 * B219
+ 33.6227 * C219
+ 2893.1764 * D219
- 2862.4094 * E219
+ 11558.4348 * F219
- 244.4477 * G219</f>
        <v>556292.87796800002</v>
      </c>
      <c r="J219" s="12">
        <f>H219-I219</f>
        <v>-18909.087967999978</v>
      </c>
      <c r="K219" s="12" t="str">
        <f xml:space="preserve"> IF(J219&gt;0, "Positive", "Negative")</f>
        <v>Negative</v>
      </c>
    </row>
    <row r="220" spans="1:11">
      <c r="A220" s="3" t="s">
        <v>93</v>
      </c>
      <c r="B220" s="5">
        <v>60183.06</v>
      </c>
      <c r="C220" s="5">
        <v>5562</v>
      </c>
      <c r="D220" s="5">
        <v>86.3</v>
      </c>
      <c r="E220" s="5">
        <v>0.2</v>
      </c>
      <c r="F220" s="12">
        <v>0</v>
      </c>
      <c r="G220" s="12">
        <v>0</v>
      </c>
      <c r="H220" s="5">
        <v>636775.66</v>
      </c>
      <c r="I220" s="19">
        <f xml:space="preserve"> 147642.16
+ 1.2034 * B220
+ 33.6227 * C220
+ 2893.1764 * D220
- 2862.4094 * E220
+ 11558.4348 * F220
- 244.4477 * G220</f>
        <v>656184.55324400007</v>
      </c>
      <c r="J220" s="12">
        <f>H220-I220</f>
        <v>-19408.893244000035</v>
      </c>
      <c r="K220" s="12" t="str">
        <f xml:space="preserve"> IF(J220&gt;0, "Positive", "Negative")</f>
        <v>Negative</v>
      </c>
    </row>
    <row r="221" spans="1:11">
      <c r="A221" s="3" t="s">
        <v>55</v>
      </c>
      <c r="B221" s="5">
        <v>70366.759999999995</v>
      </c>
      <c r="C221" s="5">
        <v>1963</v>
      </c>
      <c r="D221" s="5">
        <v>89.8</v>
      </c>
      <c r="E221" s="5">
        <v>3.2</v>
      </c>
      <c r="F221" s="12">
        <v>0</v>
      </c>
      <c r="G221" s="12">
        <v>1</v>
      </c>
      <c r="H221" s="5">
        <v>529075.94999999995</v>
      </c>
      <c r="I221" s="19">
        <f xml:space="preserve"> 147642.16
+ 1.2034 * B221
+ 33.6227 * C221
+ 2893.1764 * D221
- 2862.4094 * E221
+ 11558.4348 * F221
- 244.4477 * G221</f>
        <v>548725.96202400001</v>
      </c>
      <c r="J221" s="12">
        <f>H221-I221</f>
        <v>-19650.012024000054</v>
      </c>
      <c r="K221" s="12" t="str">
        <f xml:space="preserve"> IF(J221&gt;0, "Positive", "Negative")</f>
        <v>Negative</v>
      </c>
    </row>
    <row r="222" spans="1:11">
      <c r="A222" s="3" t="s">
        <v>61</v>
      </c>
      <c r="B222" s="5">
        <v>41863.08</v>
      </c>
      <c r="C222" s="5">
        <v>5400</v>
      </c>
      <c r="D222" s="5">
        <v>91.6</v>
      </c>
      <c r="E222" s="5">
        <v>7.99</v>
      </c>
      <c r="F222" s="12">
        <v>0</v>
      </c>
      <c r="G222" s="12">
        <v>0</v>
      </c>
      <c r="H222" s="5">
        <v>602002.31999999995</v>
      </c>
      <c r="I222" s="19">
        <f xml:space="preserve"> 147642.16
+ 1.2034 * B222
+ 33.6227 * C222
+ 2893.1764 * D222
- 2862.4094 * E222
+ 11558.4348 * F222
- 244.4477 * G222</f>
        <v>621727.07760600001</v>
      </c>
      <c r="J222" s="12">
        <f>H222-I222</f>
        <v>-19724.757606000057</v>
      </c>
      <c r="K222" s="12" t="str">
        <f xml:space="preserve"> IF(J222&gt;0, "Positive", "Negative")</f>
        <v>Negative</v>
      </c>
    </row>
    <row r="223" spans="1:11">
      <c r="A223" s="3" t="s">
        <v>31</v>
      </c>
      <c r="B223" s="5">
        <v>61245.41</v>
      </c>
      <c r="C223" s="5">
        <v>8156</v>
      </c>
      <c r="D223" s="5">
        <v>92.9</v>
      </c>
      <c r="E223" s="5">
        <v>9.0500000000000007</v>
      </c>
      <c r="F223" s="12">
        <v>0</v>
      </c>
      <c r="G223" s="12">
        <v>0</v>
      </c>
      <c r="H223" s="5">
        <v>718330.53</v>
      </c>
      <c r="I223" s="19">
        <f xml:space="preserve"> 147642.16
+ 1.2034 * B223
+ 33.6227 * C223
+ 2893.1764 * D223
- 2862.4094 * E223
+ 11558.4348 * F223
- 244.4477 * G223</f>
        <v>738442.91008400009</v>
      </c>
      <c r="J223" s="12">
        <f>H223-I223</f>
        <v>-20112.380084000062</v>
      </c>
      <c r="K223" s="12" t="str">
        <f xml:space="preserve"> IF(J223&gt;0, "Positive", "Negative")</f>
        <v>Negative</v>
      </c>
    </row>
    <row r="224" spans="1:11">
      <c r="A224" s="3" t="s">
        <v>91</v>
      </c>
      <c r="B224" s="5">
        <v>48609.41</v>
      </c>
      <c r="C224" s="5">
        <v>9324</v>
      </c>
      <c r="D224" s="5">
        <v>86.5</v>
      </c>
      <c r="E224" s="5">
        <v>1.44</v>
      </c>
      <c r="F224" s="12">
        <v>1</v>
      </c>
      <c r="G224" s="12">
        <v>0</v>
      </c>
      <c r="H224" s="5">
        <v>756619.77</v>
      </c>
      <c r="I224" s="19">
        <f xml:space="preserve"> 147642.16
+ 1.2034 * B224
+ 33.6227 * C224
+ 2893.1764 * D224
- 2862.4094 * E224
+ 11558.4348 * F224
- 244.4477 * G224</f>
        <v>777333.10265800008</v>
      </c>
      <c r="J224" s="12">
        <f>H224-I224</f>
        <v>-20713.332658000058</v>
      </c>
      <c r="K224" s="12" t="str">
        <f xml:space="preserve"> IF(J224&gt;0, "Positive", "Negative")</f>
        <v>Negative</v>
      </c>
    </row>
    <row r="225" spans="1:11">
      <c r="A225" s="3" t="s">
        <v>62</v>
      </c>
      <c r="B225" s="5">
        <v>66870.62</v>
      </c>
      <c r="C225" s="5">
        <v>6055</v>
      </c>
      <c r="D225" s="5">
        <v>93.8</v>
      </c>
      <c r="E225" s="5">
        <v>0.54</v>
      </c>
      <c r="F225" s="12">
        <v>1</v>
      </c>
      <c r="G225" s="12">
        <v>1</v>
      </c>
      <c r="H225" s="5">
        <v>692008.64</v>
      </c>
      <c r="I225" s="19">
        <f xml:space="preserve"> 147642.16
+ 1.2034 * B225
+ 33.6227 * C225
+ 2893.1764 * D225
- 2862.4094 * E225
+ 11558.4348 * F225
- 244.4477 * G225</f>
        <v>712847.94495200005</v>
      </c>
      <c r="J225" s="12">
        <f>H225-I225</f>
        <v>-20839.304952000035</v>
      </c>
      <c r="K225" s="12" t="str">
        <f xml:space="preserve"> IF(J225&gt;0, "Positive", "Negative")</f>
        <v>Negative</v>
      </c>
    </row>
    <row r="226" spans="1:11">
      <c r="A226" s="3" t="s">
        <v>93</v>
      </c>
      <c r="B226" s="5">
        <v>40928.69</v>
      </c>
      <c r="C226" s="5">
        <v>4094</v>
      </c>
      <c r="D226" s="5">
        <v>82.4</v>
      </c>
      <c r="E226" s="5">
        <v>1.36</v>
      </c>
      <c r="F226" s="12">
        <v>0</v>
      </c>
      <c r="G226" s="12">
        <v>0</v>
      </c>
      <c r="H226" s="5">
        <v>548103.69999999995</v>
      </c>
      <c r="I226" s="19">
        <f xml:space="preserve"> 147642.16
+ 1.2034 * B226
+ 33.6227 * C226
+ 2893.1764 * D226
- 2862.4094 * E226
+ 11558.4348 * F226
- 244.4477 * G226</f>
        <v>569051.93792200007</v>
      </c>
      <c r="J226" s="12">
        <f>H226-I226</f>
        <v>-20948.237922000117</v>
      </c>
      <c r="K226" s="12" t="str">
        <f xml:space="preserve"> IF(J226&gt;0, "Positive", "Negative")</f>
        <v>Negative</v>
      </c>
    </row>
    <row r="227" spans="1:11">
      <c r="A227" s="3" t="s">
        <v>68</v>
      </c>
      <c r="B227" s="5">
        <v>71941.62</v>
      </c>
      <c r="C227" s="5">
        <v>6084</v>
      </c>
      <c r="D227" s="5">
        <v>93.7</v>
      </c>
      <c r="E227" s="5">
        <v>2.34</v>
      </c>
      <c r="F227" s="12">
        <v>0</v>
      </c>
      <c r="G227" s="12">
        <v>1</v>
      </c>
      <c r="H227" s="5">
        <v>681855.56</v>
      </c>
      <c r="I227" s="19">
        <f xml:space="preserve"> 147642.16
+ 1.2034 * B227
+ 33.6227 * C227
+ 2893.1764 * D227
- 2862.4094 * E227
+ 11558.4348 * F227
- 244.4477 * G227</f>
        <v>702925.35529199988</v>
      </c>
      <c r="J227" s="12">
        <f>H227-I227</f>
        <v>-21069.795291999821</v>
      </c>
      <c r="K227" s="12" t="str">
        <f xml:space="preserve"> IF(J227&gt;0, "Positive", "Negative")</f>
        <v>Negative</v>
      </c>
    </row>
    <row r="228" spans="1:11">
      <c r="A228" s="3" t="s">
        <v>50</v>
      </c>
      <c r="B228" s="5">
        <v>25990.54</v>
      </c>
      <c r="C228" s="5">
        <v>9249</v>
      </c>
      <c r="D228" s="5">
        <v>92.5</v>
      </c>
      <c r="E228" s="5">
        <v>6.37</v>
      </c>
      <c r="F228" s="12">
        <v>0</v>
      </c>
      <c r="G228" s="12">
        <v>0</v>
      </c>
      <c r="H228" s="5">
        <v>718074.79</v>
      </c>
      <c r="I228" s="19">
        <f xml:space="preserve"> 147642.16
+ 1.2034 * B228
+ 33.6227 * C228
+ 2893.1764 * D228
- 2862.4094 * E228
+ 11558.4348 * F228
- 244.4477 * G228</f>
        <v>739280.79725800012</v>
      </c>
      <c r="J228" s="12">
        <f>H228-I228</f>
        <v>-21206.007258000085</v>
      </c>
      <c r="K228" s="12" t="str">
        <f xml:space="preserve"> IF(J228&gt;0, "Positive", "Negative")</f>
        <v>Negative</v>
      </c>
    </row>
    <row r="229" spans="1:11">
      <c r="A229" s="3" t="s">
        <v>62</v>
      </c>
      <c r="B229" s="5">
        <v>57143.3</v>
      </c>
      <c r="C229" s="5">
        <v>8038</v>
      </c>
      <c r="D229" s="5">
        <v>72.599999999999994</v>
      </c>
      <c r="E229" s="5">
        <v>3.37</v>
      </c>
      <c r="F229" s="12">
        <v>1</v>
      </c>
      <c r="G229" s="12">
        <v>1</v>
      </c>
      <c r="H229" s="5">
        <v>677096.71</v>
      </c>
      <c r="I229" s="19">
        <f xml:space="preserve"> 147642.16
+ 1.2034 * B229
+ 33.6227 * C229
+ 2893.1764 * D229
- 2862.4094 * E229
+ 11558.4348 * F229
- 244.4477 * G229</f>
        <v>698379.94388199993</v>
      </c>
      <c r="J229" s="12">
        <f>H229-I229</f>
        <v>-21283.233881999971</v>
      </c>
      <c r="K229" s="12" t="str">
        <f xml:space="preserve"> IF(J229&gt;0, "Positive", "Negative")</f>
        <v>Negative</v>
      </c>
    </row>
    <row r="230" spans="1:11">
      <c r="A230" s="3" t="s">
        <v>69</v>
      </c>
      <c r="B230" s="5">
        <v>37705.879999999997</v>
      </c>
      <c r="C230" s="5">
        <v>1268</v>
      </c>
      <c r="D230" s="5">
        <v>84.1</v>
      </c>
      <c r="E230" s="5">
        <v>4.7699999999999996</v>
      </c>
      <c r="F230" s="12">
        <v>0</v>
      </c>
      <c r="G230" s="12">
        <v>1</v>
      </c>
      <c r="H230" s="5">
        <v>443275.59</v>
      </c>
      <c r="I230" s="19">
        <f xml:space="preserve"> 147642.16
+ 1.2034 * B230
+ 33.6227 * C230
+ 2893.1764 * D230
- 2862.4094 * E230
+ 11558.4348 * F230
- 244.4477 * G230</f>
        <v>465068.99429399997</v>
      </c>
      <c r="J230" s="12">
        <f>H230-I230</f>
        <v>-21793.404293999949</v>
      </c>
      <c r="K230" s="12" t="str">
        <f xml:space="preserve"> IF(J230&gt;0, "Positive", "Negative")</f>
        <v>Negative</v>
      </c>
    </row>
    <row r="231" spans="1:11">
      <c r="A231" s="3" t="s">
        <v>70</v>
      </c>
      <c r="B231" s="5">
        <v>51133.43</v>
      </c>
      <c r="C231" s="5">
        <v>5150</v>
      </c>
      <c r="D231" s="5">
        <v>88.5</v>
      </c>
      <c r="E231" s="5">
        <v>1.54</v>
      </c>
      <c r="F231" s="12">
        <v>0</v>
      </c>
      <c r="G231" s="12">
        <v>0</v>
      </c>
      <c r="H231" s="5">
        <v>611924.27</v>
      </c>
      <c r="I231" s="19">
        <f xml:space="preserve"> 147642.16
+ 1.2034 * B231
+ 33.6227 * C231
+ 2893.1764 * D231
- 2862.4094 * E231
+ 11558.4348 * F231
- 244.4477 * G231</f>
        <v>633971.03558599995</v>
      </c>
      <c r="J231" s="12">
        <f>H231-I231</f>
        <v>-22046.765585999936</v>
      </c>
      <c r="K231" s="12" t="str">
        <f xml:space="preserve"> IF(J231&gt;0, "Positive", "Negative")</f>
        <v>Negative</v>
      </c>
    </row>
    <row r="232" spans="1:11">
      <c r="A232" s="3" t="s">
        <v>36</v>
      </c>
      <c r="B232" s="5">
        <v>52952.12</v>
      </c>
      <c r="C232" s="5">
        <v>4377</v>
      </c>
      <c r="D232" s="5">
        <v>88.6</v>
      </c>
      <c r="E232" s="5">
        <v>13.59</v>
      </c>
      <c r="F232" s="12">
        <v>0</v>
      </c>
      <c r="G232" s="12">
        <v>0</v>
      </c>
      <c r="H232" s="5">
        <v>553756.43000000005</v>
      </c>
      <c r="I232" s="19">
        <f xml:space="preserve"> 147642.16
+ 1.2034 * B232
+ 33.6227 * C232
+ 2893.1764 * D232
- 2862.4094 * E232
+ 11558.4348 * F232
- 244.4477 * G232</f>
        <v>575966.58440199995</v>
      </c>
      <c r="J232" s="12">
        <f>H232-I232</f>
        <v>-22210.154401999898</v>
      </c>
      <c r="K232" s="12" t="str">
        <f xml:space="preserve"> IF(J232&gt;0, "Positive", "Negative")</f>
        <v>Negative</v>
      </c>
    </row>
    <row r="233" spans="1:11">
      <c r="A233" s="3" t="s">
        <v>73</v>
      </c>
      <c r="B233" s="5">
        <v>92090.14</v>
      </c>
      <c r="C233" s="5">
        <v>9476</v>
      </c>
      <c r="D233" s="5">
        <v>94.3</v>
      </c>
      <c r="E233" s="5">
        <v>0.87</v>
      </c>
      <c r="F233" s="12">
        <v>0</v>
      </c>
      <c r="G233" s="12">
        <v>0</v>
      </c>
      <c r="H233" s="5">
        <v>825060.52</v>
      </c>
      <c r="I233" s="19">
        <f xml:space="preserve"> 147642.16
+ 1.2034 * B233
+ 33.6227 * C233
+ 2893.1764 * D233
- 2862.4094 * E233
+ 11558.4348 * F233
- 244.4477 * G233</f>
        <v>847408.37801799993</v>
      </c>
      <c r="J233" s="12">
        <f>H233-I233</f>
        <v>-22347.858017999912</v>
      </c>
      <c r="K233" s="12" t="str">
        <f xml:space="preserve"> IF(J233&gt;0, "Positive", "Negative")</f>
        <v>Negative</v>
      </c>
    </row>
    <row r="234" spans="1:11">
      <c r="A234" s="3" t="s">
        <v>25</v>
      </c>
      <c r="B234" s="5">
        <v>33518.879999999997</v>
      </c>
      <c r="C234" s="5">
        <v>2121</v>
      </c>
      <c r="D234" s="5">
        <v>88.5</v>
      </c>
      <c r="E234" s="5">
        <v>0.2</v>
      </c>
      <c r="F234" s="12">
        <v>0</v>
      </c>
      <c r="G234" s="12">
        <v>0</v>
      </c>
      <c r="H234" s="5">
        <v>491905.13</v>
      </c>
      <c r="I234" s="19">
        <f xml:space="preserve"> 147642.16
+ 1.2034 * B234
+ 33.6227 * C234
+ 2893.1764 * D234
- 2862.4094 * E234
+ 11558.4348 * F234
- 244.4477 * G234</f>
        <v>514766.15641200001</v>
      </c>
      <c r="J234" s="12">
        <f>H234-I234</f>
        <v>-22861.026412000007</v>
      </c>
      <c r="K234" s="12" t="str">
        <f xml:space="preserve"> IF(J234&gt;0, "Positive", "Negative")</f>
        <v>Negative</v>
      </c>
    </row>
    <row r="235" spans="1:11">
      <c r="A235" s="3" t="s">
        <v>47</v>
      </c>
      <c r="B235" s="5">
        <v>63101.59</v>
      </c>
      <c r="C235" s="5">
        <v>4373</v>
      </c>
      <c r="D235" s="5">
        <v>90.4</v>
      </c>
      <c r="E235" s="5">
        <v>7.87</v>
      </c>
      <c r="F235" s="12">
        <v>0</v>
      </c>
      <c r="G235" s="12">
        <v>0</v>
      </c>
      <c r="H235" s="5">
        <v>586626.93999999994</v>
      </c>
      <c r="I235" s="19">
        <f xml:space="preserve"> 147642.16
+ 1.2034 * B235
+ 33.6227 * C235
+ 2893.1764 * D235
- 2862.4094 * E235
+ 11558.4348 * F235
- 244.4477 * G235</f>
        <v>609626.66508800013</v>
      </c>
      <c r="J235" s="12">
        <f>H235-I235</f>
        <v>-22999.725088000181</v>
      </c>
      <c r="K235" s="12" t="str">
        <f xml:space="preserve"> IF(J235&gt;0, "Positive", "Negative")</f>
        <v>Negative</v>
      </c>
    </row>
    <row r="236" spans="1:11">
      <c r="A236" s="3" t="s">
        <v>83</v>
      </c>
      <c r="B236" s="5">
        <v>21536.18</v>
      </c>
      <c r="C236" s="5">
        <v>8119</v>
      </c>
      <c r="D236" s="5">
        <v>90.4</v>
      </c>
      <c r="E236" s="5">
        <v>1.7</v>
      </c>
      <c r="F236" s="12">
        <v>0</v>
      </c>
      <c r="G236" s="12">
        <v>1</v>
      </c>
      <c r="H236" s="5">
        <v>679888.74</v>
      </c>
      <c r="I236" s="19">
        <f xml:space="preserve"> 147642.16
+ 1.2034 * B236
+ 33.6227 * C236
+ 2893.1764 * D236
- 2862.4094 * E236
+ 11558.4348 * F236
- 244.4477 * G236</f>
        <v>702974.10319200007</v>
      </c>
      <c r="J236" s="12">
        <f>H236-I236</f>
        <v>-23085.363192000077</v>
      </c>
      <c r="K236" s="12" t="str">
        <f xml:space="preserve"> IF(J236&gt;0, "Positive", "Negative")</f>
        <v>Negative</v>
      </c>
    </row>
    <row r="237" spans="1:11">
      <c r="A237" s="3" t="s">
        <v>49</v>
      </c>
      <c r="B237" s="5">
        <v>51056.15</v>
      </c>
      <c r="C237" s="5">
        <v>5686</v>
      </c>
      <c r="D237" s="5">
        <v>89.9</v>
      </c>
      <c r="E237" s="5">
        <v>1.28</v>
      </c>
      <c r="F237" s="12">
        <v>0</v>
      </c>
      <c r="G237" s="12">
        <v>0</v>
      </c>
      <c r="H237" s="5">
        <v>633494.21</v>
      </c>
      <c r="I237" s="19">
        <f xml:space="preserve"> 147642.16
+ 1.2034 * B237
+ 33.6227 * C237
+ 2893.1764 * D237
- 2862.4094 * E237
+ 11558.4348 * F237
- 244.4477 * G237</f>
        <v>656694.47743800003</v>
      </c>
      <c r="J237" s="12">
        <f>H237-I237</f>
        <v>-23200.267438000068</v>
      </c>
      <c r="K237" s="12" t="str">
        <f xml:space="preserve"> IF(J237&gt;0, "Positive", "Negative")</f>
        <v>Negative</v>
      </c>
    </row>
    <row r="238" spans="1:11">
      <c r="A238" s="3" t="s">
        <v>96</v>
      </c>
      <c r="B238" s="5">
        <v>46174.7</v>
      </c>
      <c r="C238" s="5">
        <v>4898</v>
      </c>
      <c r="D238" s="5">
        <v>91.7</v>
      </c>
      <c r="E238" s="5">
        <v>3.75</v>
      </c>
      <c r="F238" s="12">
        <v>0</v>
      </c>
      <c r="G238" s="12">
        <v>1</v>
      </c>
      <c r="H238" s="5">
        <v>599017.32999999996</v>
      </c>
      <c r="I238" s="19">
        <f xml:space="preserve"> 147642.16
+ 1.2034 * B238
+ 33.6227 * C238
+ 2893.1764 * D238
- 2862.4094 * E238
+ 11558.4348 * F238
- 244.4477 * G238</f>
        <v>622218.57151000004</v>
      </c>
      <c r="J238" s="12">
        <f>H238-I238</f>
        <v>-23201.24151000008</v>
      </c>
      <c r="K238" s="12" t="str">
        <f xml:space="preserve"> IF(J238&gt;0, "Positive", "Negative")</f>
        <v>Negative</v>
      </c>
    </row>
    <row r="239" spans="1:11">
      <c r="A239" s="3" t="s">
        <v>99</v>
      </c>
      <c r="B239" s="5">
        <v>48465.599999999999</v>
      </c>
      <c r="C239" s="5">
        <v>5759</v>
      </c>
      <c r="D239" s="5">
        <v>87.5</v>
      </c>
      <c r="E239" s="5">
        <v>4.1399999999999997</v>
      </c>
      <c r="F239" s="12">
        <v>1</v>
      </c>
      <c r="G239" s="12">
        <v>1</v>
      </c>
      <c r="H239" s="5">
        <v>628538.30000000005</v>
      </c>
      <c r="I239" s="19">
        <f xml:space="preserve"> 147642.16
+ 1.2034 * B239
+ 33.6227 * C239
+ 2893.1764 * D239
- 2862.4094 * E239
+ 11558.4348 * F239
- 244.4477 * G239</f>
        <v>652215.33952400007</v>
      </c>
      <c r="J239" s="12">
        <f>H239-I239</f>
        <v>-23677.039524000022</v>
      </c>
      <c r="K239" s="12" t="str">
        <f xml:space="preserve"> IF(J239&gt;0, "Positive", "Negative")</f>
        <v>Negative</v>
      </c>
    </row>
    <row r="240" spans="1:11">
      <c r="A240" s="3" t="s">
        <v>34</v>
      </c>
      <c r="B240" s="5">
        <v>46624.05</v>
      </c>
      <c r="C240" s="5">
        <v>5104</v>
      </c>
      <c r="D240" s="5">
        <v>97.3</v>
      </c>
      <c r="E240" s="5">
        <v>3.49</v>
      </c>
      <c r="F240" s="12">
        <v>0</v>
      </c>
      <c r="G240" s="12">
        <v>0</v>
      </c>
      <c r="H240" s="5">
        <v>622811.74</v>
      </c>
      <c r="I240" s="19">
        <f xml:space="preserve"> 147642.16
+ 1.2034 * B240
+ 33.6227 * C240
+ 2893.1764 * D240
- 2862.4094 * E240
+ 11558.4348 * F240
- 244.4477 * G240</f>
        <v>646876.05748399999</v>
      </c>
      <c r="J240" s="12">
        <f>H240-I240</f>
        <v>-24064.317483999999</v>
      </c>
      <c r="K240" s="12" t="str">
        <f xml:space="preserve"> IF(J240&gt;0, "Positive", "Negative")</f>
        <v>Negative</v>
      </c>
    </row>
    <row r="241" spans="1:11">
      <c r="A241" s="3" t="s">
        <v>72</v>
      </c>
      <c r="B241" s="5">
        <v>35203.230000000003</v>
      </c>
      <c r="C241" s="5">
        <v>6896</v>
      </c>
      <c r="D241" s="5">
        <v>80.8</v>
      </c>
      <c r="E241" s="5">
        <v>8.44</v>
      </c>
      <c r="F241" s="12">
        <v>0</v>
      </c>
      <c r="G241" s="12">
        <v>0</v>
      </c>
      <c r="H241" s="5">
        <v>607084.92000000004</v>
      </c>
      <c r="I241" s="19">
        <f xml:space="preserve"> 147642.16
+ 1.2034 * B241
+ 33.6227 * C241
+ 2893.1764 * D241
- 2862.4094 * E241
+ 11558.4348 * F241
- 244.4477 * G241</f>
        <v>631477.78396600008</v>
      </c>
      <c r="J241" s="12">
        <f>H241-I241</f>
        <v>-24392.863966000034</v>
      </c>
      <c r="K241" s="12" t="str">
        <f xml:space="preserve"> IF(J241&gt;0, "Positive", "Negative")</f>
        <v>Negative</v>
      </c>
    </row>
    <row r="242" spans="1:11">
      <c r="A242" s="3" t="s">
        <v>43</v>
      </c>
      <c r="B242" s="5">
        <v>88443.77</v>
      </c>
      <c r="C242" s="5">
        <v>4004</v>
      </c>
      <c r="D242" s="5">
        <v>91.9</v>
      </c>
      <c r="E242" s="5">
        <v>5.95</v>
      </c>
      <c r="F242" s="12">
        <v>0</v>
      </c>
      <c r="G242" s="12">
        <v>1</v>
      </c>
      <c r="H242" s="5">
        <v>611766.72</v>
      </c>
      <c r="I242" s="19">
        <f xml:space="preserve"> 147642.16
+ 1.2034 * B242
+ 33.6227 * C242
+ 2893.1764 * D242
- 2862.4094 * E242
+ 11558.4348 * F242
- 244.4477 * G242</f>
        <v>637307.81114800007</v>
      </c>
      <c r="J242" s="12">
        <f>H242-I242</f>
        <v>-25541.091148000094</v>
      </c>
      <c r="K242" s="12" t="str">
        <f xml:space="preserve"> IF(J242&gt;0, "Positive", "Negative")</f>
        <v>Negative</v>
      </c>
    </row>
    <row r="243" spans="1:11">
      <c r="A243" s="3" t="s">
        <v>101</v>
      </c>
      <c r="B243" s="5">
        <v>40553.11</v>
      </c>
      <c r="C243" s="5">
        <v>5317</v>
      </c>
      <c r="D243" s="5">
        <v>84.3</v>
      </c>
      <c r="E243" s="5">
        <v>11.82</v>
      </c>
      <c r="F243" s="12">
        <v>0</v>
      </c>
      <c r="G243" s="12">
        <v>0</v>
      </c>
      <c r="H243" s="5">
        <v>559660.84</v>
      </c>
      <c r="I243" s="19">
        <f xml:space="preserve"> 147642.16
+ 1.2034 * B243
+ 33.6227 * C243
+ 2893.1764 * D243
- 2862.4094 * E243
+ 11558.4348 * F243
- 244.4477 * G243</f>
        <v>585276.75988599996</v>
      </c>
      <c r="J243" s="12">
        <f>H243-I243</f>
        <v>-25615.919885999989</v>
      </c>
      <c r="K243" s="12" t="str">
        <f xml:space="preserve"> IF(J243&gt;0, "Positive", "Negative")</f>
        <v>Negative</v>
      </c>
    </row>
    <row r="244" spans="1:11">
      <c r="A244" s="3" t="s">
        <v>53</v>
      </c>
      <c r="B244" s="5">
        <v>44747</v>
      </c>
      <c r="C244" s="5">
        <v>11076</v>
      </c>
      <c r="D244" s="5">
        <v>98.3</v>
      </c>
      <c r="E244" s="5">
        <v>0.54</v>
      </c>
      <c r="F244" s="12">
        <v>1</v>
      </c>
      <c r="G244" s="12">
        <v>1</v>
      </c>
      <c r="H244" s="5">
        <v>842439.67</v>
      </c>
      <c r="I244" s="19">
        <f xml:space="preserve"> 147642.16
+ 1.2034 * B244
+ 33.6227 * C244
+ 2893.1764 * D244
- 2862.4094 * E244
+ 11558.4348 * F244
- 244.4477 * G244</f>
        <v>868063.2511440001</v>
      </c>
      <c r="J244" s="12">
        <f>H244-I244</f>
        <v>-25623.581144000054</v>
      </c>
      <c r="K244" s="12" t="str">
        <f xml:space="preserve"> IF(J244&gt;0, "Positive", "Negative")</f>
        <v>Negative</v>
      </c>
    </row>
    <row r="245" spans="1:11">
      <c r="A245" s="3" t="s">
        <v>95</v>
      </c>
      <c r="B245" s="5">
        <v>51996.32</v>
      </c>
      <c r="C245" s="5">
        <v>3834</v>
      </c>
      <c r="D245" s="5">
        <v>86.7</v>
      </c>
      <c r="E245" s="5">
        <v>6.04</v>
      </c>
      <c r="F245" s="12">
        <v>0</v>
      </c>
      <c r="G245" s="12">
        <v>1</v>
      </c>
      <c r="H245" s="5">
        <v>546223.69999999995</v>
      </c>
      <c r="I245" s="19">
        <f xml:space="preserve"> 147642.16
+ 1.2034 * B245
+ 33.6227 * C245
+ 2893.1764 * D245
- 2862.4094 * E245
+ 11558.4348 * F245
- 244.4477 * G245</f>
        <v>572428.95669199992</v>
      </c>
      <c r="J245" s="12">
        <f>H245-I245</f>
        <v>-26205.256691999966</v>
      </c>
      <c r="K245" s="12" t="str">
        <f xml:space="preserve"> IF(J245&gt;0, "Positive", "Negative")</f>
        <v>Negative</v>
      </c>
    </row>
    <row r="246" spans="1:11">
      <c r="A246" s="3" t="s">
        <v>17</v>
      </c>
      <c r="B246" s="5">
        <v>64811.21</v>
      </c>
      <c r="C246" s="5">
        <v>9792</v>
      </c>
      <c r="D246" s="5">
        <v>84.2</v>
      </c>
      <c r="E246" s="5">
        <v>2.88</v>
      </c>
      <c r="F246" s="12">
        <v>0</v>
      </c>
      <c r="G246" s="12">
        <v>1</v>
      </c>
      <c r="H246" s="5">
        <v>761835.34</v>
      </c>
      <c r="I246" s="19">
        <f xml:space="preserve"> 147642.16
+ 1.2034 * B246
+ 33.6227 * C246
+ 2893.1764 * D246
- 2862.4094 * E246
+ 11558.4348 * F246
- 244.4477 * G246</f>
        <v>789986.714622</v>
      </c>
      <c r="J246" s="12">
        <f>H246-I246</f>
        <v>-28151.374622000032</v>
      </c>
      <c r="K246" s="12" t="str">
        <f xml:space="preserve"> IF(J246&gt;0, "Positive", "Negative")</f>
        <v>Negative</v>
      </c>
    </row>
    <row r="247" spans="1:11">
      <c r="A247" s="3" t="s">
        <v>22</v>
      </c>
      <c r="B247" s="5">
        <v>59909.51</v>
      </c>
      <c r="C247" s="5">
        <v>8895</v>
      </c>
      <c r="D247" s="5">
        <v>88.8</v>
      </c>
      <c r="E247" s="5">
        <v>0.27</v>
      </c>
      <c r="F247" s="12">
        <v>0</v>
      </c>
      <c r="G247" s="12">
        <v>0</v>
      </c>
      <c r="H247" s="5">
        <v>746501.09</v>
      </c>
      <c r="I247" s="19">
        <f xml:space="preserve"> 147642.16
+ 1.2034 * B247
+ 33.6227 * C247
+ 2893.1764 * D247
- 2862.4094 * E247
+ 11558.4348 * F247
- 244.4477 * G247</f>
        <v>774952.39461600001</v>
      </c>
      <c r="J247" s="12">
        <f>H247-I247</f>
        <v>-28451.304616000038</v>
      </c>
      <c r="K247" s="12" t="str">
        <f xml:space="preserve"> IF(J247&gt;0, "Positive", "Negative")</f>
        <v>Negative</v>
      </c>
    </row>
    <row r="248" spans="1:11">
      <c r="A248" s="3" t="s">
        <v>85</v>
      </c>
      <c r="B248" s="5">
        <v>36290.080000000002</v>
      </c>
      <c r="C248" s="5">
        <v>5787</v>
      </c>
      <c r="D248" s="5">
        <v>88.3</v>
      </c>
      <c r="E248" s="5">
        <v>4.1900000000000004</v>
      </c>
      <c r="F248" s="12">
        <v>1</v>
      </c>
      <c r="G248" s="12">
        <v>0</v>
      </c>
      <c r="H248" s="5">
        <v>612390.14</v>
      </c>
      <c r="I248" s="19">
        <f xml:space="preserve"> 147642.16
+ 1.2034 * B248
+ 33.6227 * C248
+ 2893.1764 * D248
- 2862.4094 * E248
+ 11558.4348 * F248
- 244.4477 * G248</f>
        <v>640920.62270599999</v>
      </c>
      <c r="J248" s="12">
        <f>H248-I248</f>
        <v>-28530.482705999981</v>
      </c>
      <c r="K248" s="12" t="str">
        <f xml:space="preserve"> IF(J248&gt;0, "Positive", "Negative")</f>
        <v>Negative</v>
      </c>
    </row>
    <row r="249" spans="1:11">
      <c r="A249" s="3" t="s">
        <v>64</v>
      </c>
      <c r="B249" s="5">
        <v>36606.51</v>
      </c>
      <c r="C249" s="5">
        <v>7671</v>
      </c>
      <c r="D249" s="5">
        <v>89.8</v>
      </c>
      <c r="E249" s="5">
        <v>0.25</v>
      </c>
      <c r="F249" s="12">
        <v>0</v>
      </c>
      <c r="G249" s="12">
        <v>0</v>
      </c>
      <c r="H249" s="5">
        <v>679731.57</v>
      </c>
      <c r="I249" s="19">
        <f xml:space="preserve"> 147642.16
+ 1.2034 * B249
+ 33.6227 * C249
+ 2893.1764 * D249
- 2862.4094 * E249
+ 11558.4348 * F249
- 244.4477 * G249</f>
        <v>708705.80420400004</v>
      </c>
      <c r="J249" s="12">
        <f>H249-I249</f>
        <v>-28974.234204000095</v>
      </c>
      <c r="K249" s="12" t="str">
        <f xml:space="preserve"> IF(J249&gt;0, "Positive", "Negative")</f>
        <v>Negative</v>
      </c>
    </row>
    <row r="250" spans="1:11">
      <c r="A250" s="3" t="s">
        <v>29</v>
      </c>
      <c r="B250" s="5">
        <v>44970.080000000002</v>
      </c>
      <c r="C250" s="5">
        <v>2471</v>
      </c>
      <c r="D250" s="5">
        <v>87.6</v>
      </c>
      <c r="E250" s="5">
        <v>3.01</v>
      </c>
      <c r="F250" s="12">
        <v>0</v>
      </c>
      <c r="G250" s="12">
        <v>0</v>
      </c>
      <c r="H250" s="5">
        <v>500173.02</v>
      </c>
      <c r="I250" s="19">
        <f xml:space="preserve"> 147642.16
+ 1.2034 * B250
+ 33.6227 * C250
+ 2893.1764 * D250
- 2862.4094 * E250
+ 11558.4348 * F250
- 244.4477 * G250</f>
        <v>529667.24631800002</v>
      </c>
      <c r="J250" s="12">
        <f>H250-I250</f>
        <v>-29494.226318000001</v>
      </c>
      <c r="K250" s="12" t="str">
        <f xml:space="preserve"> IF(J250&gt;0, "Positive", "Negative")</f>
        <v>Negative</v>
      </c>
    </row>
    <row r="251" spans="1:11">
      <c r="A251" s="3" t="s">
        <v>30</v>
      </c>
      <c r="B251" s="5">
        <v>52483.77</v>
      </c>
      <c r="C251" s="5">
        <v>10453</v>
      </c>
      <c r="D251" s="5">
        <v>99</v>
      </c>
      <c r="E251" s="5">
        <v>6.31</v>
      </c>
      <c r="F251" s="12">
        <v>0</v>
      </c>
      <c r="G251" s="12">
        <v>0</v>
      </c>
      <c r="H251" s="5">
        <v>800979.78</v>
      </c>
      <c r="I251" s="19">
        <f xml:space="preserve"> 147642.16
+ 1.2034 * B251
+ 33.6227 * C251
+ 2893.1764 * D251
- 2862.4094 * E251
+ 11558.4348 * F251
- 244.4477 * G251</f>
        <v>830621.87220400001</v>
      </c>
      <c r="J251" s="12">
        <f>H251-I251</f>
        <v>-29642.092203999986</v>
      </c>
      <c r="K251" s="12" t="str">
        <f xml:space="preserve"> IF(J251&gt;0, "Positive", "Negative")</f>
        <v>Negative</v>
      </c>
    </row>
    <row r="252" spans="1:11">
      <c r="A252" s="3" t="s">
        <v>91</v>
      </c>
      <c r="B252" s="5">
        <v>70284.06</v>
      </c>
      <c r="C252" s="5">
        <v>9109</v>
      </c>
      <c r="D252" s="5">
        <v>87</v>
      </c>
      <c r="E252" s="5">
        <v>3.65</v>
      </c>
      <c r="F252" s="12">
        <v>1</v>
      </c>
      <c r="G252" s="12">
        <v>0</v>
      </c>
      <c r="H252" s="5">
        <v>761122.42</v>
      </c>
      <c r="I252" s="19">
        <f xml:space="preserve"> 147642.16
+ 1.2034 * B252
+ 33.6227 * C252
+ 2893.1764 * D252
- 2862.4094 * E252
+ 11558.4348 * F252
- 244.4477 * G252</f>
        <v>791308.15939400007</v>
      </c>
      <c r="J252" s="12">
        <f>H252-I252</f>
        <v>-30185.739394000033</v>
      </c>
      <c r="K252" s="12" t="str">
        <f xml:space="preserve"> IF(J252&gt;0, "Positive", "Negative")</f>
        <v>Negative</v>
      </c>
    </row>
    <row r="253" spans="1:11">
      <c r="A253" s="3" t="s">
        <v>72</v>
      </c>
      <c r="B253" s="5">
        <v>64104.28</v>
      </c>
      <c r="C253" s="5">
        <v>6015</v>
      </c>
      <c r="D253" s="5">
        <v>88.7</v>
      </c>
      <c r="E253" s="5">
        <v>0.78</v>
      </c>
      <c r="F253" s="12">
        <v>0</v>
      </c>
      <c r="G253" s="12">
        <v>0</v>
      </c>
      <c r="H253" s="5">
        <v>650795.49</v>
      </c>
      <c r="I253" s="19">
        <f xml:space="preserve"> 147642.16
+ 1.2034 * B253
+ 33.6227 * C253
+ 2893.1764 * D253
- 2862.4094 * E253
+ 11558.4348 * F253
- 244.4477 * G253</f>
        <v>681417.85840000003</v>
      </c>
      <c r="J253" s="12">
        <f>H253-I253</f>
        <v>-30622.368400000036</v>
      </c>
      <c r="K253" s="12" t="str">
        <f xml:space="preserve"> IF(J253&gt;0, "Positive", "Negative")</f>
        <v>Negative</v>
      </c>
    </row>
    <row r="254" spans="1:11">
      <c r="A254" s="3" t="s">
        <v>52</v>
      </c>
      <c r="B254" s="5">
        <v>19063.48</v>
      </c>
      <c r="C254" s="5">
        <v>1906</v>
      </c>
      <c r="D254" s="5">
        <v>97.8</v>
      </c>
      <c r="E254" s="5">
        <v>15.79</v>
      </c>
      <c r="F254" s="12">
        <v>0</v>
      </c>
      <c r="G254" s="12">
        <v>1</v>
      </c>
      <c r="H254" s="5">
        <v>441275.42</v>
      </c>
      <c r="I254" s="19">
        <f xml:space="preserve"> 147642.16
+ 1.2034 * B254
+ 33.6227 * C254
+ 2893.1764 * D254
- 2862.4094 * E254
+ 11558.4348 * F254
- 244.4477 * G254</f>
        <v>472178.77782599995</v>
      </c>
      <c r="J254" s="12">
        <f>H254-I254</f>
        <v>-30903.357825999963</v>
      </c>
      <c r="K254" s="12" t="str">
        <f xml:space="preserve"> IF(J254&gt;0, "Positive", "Negative")</f>
        <v>Negative</v>
      </c>
    </row>
    <row r="255" spans="1:11">
      <c r="A255" s="3" t="s">
        <v>60</v>
      </c>
      <c r="B255" s="5">
        <v>75645.23</v>
      </c>
      <c r="C255" s="5">
        <v>9674</v>
      </c>
      <c r="D255" s="5">
        <v>87.4</v>
      </c>
      <c r="E255" s="5">
        <v>0.2</v>
      </c>
      <c r="F255" s="12">
        <v>0</v>
      </c>
      <c r="G255" s="12">
        <v>1</v>
      </c>
      <c r="H255" s="5">
        <v>785028.25</v>
      </c>
      <c r="I255" s="19">
        <f xml:space="preserve"> 147642.16
+ 1.2034 * B255
+ 33.6227 * C255
+ 2893.1764 * D255
- 2862.4094 * E255
+ 11558.4348 * F255
- 244.4477 * G255</f>
        <v>815986.317362</v>
      </c>
      <c r="J255" s="12">
        <f>H255-I255</f>
        <v>-30958.067362000002</v>
      </c>
      <c r="K255" s="12" t="str">
        <f xml:space="preserve"> IF(J255&gt;0, "Positive", "Negative")</f>
        <v>Negative</v>
      </c>
    </row>
    <row r="256" spans="1:11">
      <c r="A256" s="3" t="s">
        <v>88</v>
      </c>
      <c r="B256" s="5">
        <v>58981.91</v>
      </c>
      <c r="C256" s="5">
        <v>7324</v>
      </c>
      <c r="D256" s="5">
        <v>95.8</v>
      </c>
      <c r="E256" s="5">
        <v>0.5</v>
      </c>
      <c r="F256" s="12">
        <v>0</v>
      </c>
      <c r="G256" s="12">
        <v>1</v>
      </c>
      <c r="H256" s="5">
        <v>708985.19</v>
      </c>
      <c r="I256" s="19">
        <f xml:space="preserve"> 147642.16
+ 1.2034 * B256
+ 33.6227 * C256
+ 2893.1764 * D256
- 2862.4094 * E256
+ 11558.4348 * F256
- 244.4477 * G256</f>
        <v>740364.29201400001</v>
      </c>
      <c r="J256" s="12">
        <f>H256-I256</f>
        <v>-31379.102014000062</v>
      </c>
      <c r="K256" s="12" t="str">
        <f xml:space="preserve"> IF(J256&gt;0, "Positive", "Negative")</f>
        <v>Negative</v>
      </c>
    </row>
    <row r="257" spans="1:11">
      <c r="A257" s="3" t="s">
        <v>77</v>
      </c>
      <c r="B257" s="5">
        <v>73540.990000000005</v>
      </c>
      <c r="C257" s="5">
        <v>8773</v>
      </c>
      <c r="D257" s="5">
        <v>84.4</v>
      </c>
      <c r="E257" s="5">
        <v>6.68</v>
      </c>
      <c r="F257" s="12">
        <v>0</v>
      </c>
      <c r="G257" s="12">
        <v>1</v>
      </c>
      <c r="H257" s="5">
        <v>723531.4</v>
      </c>
      <c r="I257" s="19">
        <f xml:space="preserve"> 147642.16
+ 1.2034 * B257
+ 33.6227 * C257
+ 2893.1764 * D257
- 2862.4094 * E257
+ 11558.4348 * F257
- 244.4477 * G257</f>
        <v>755932.08013400005</v>
      </c>
      <c r="J257" s="12">
        <f>H257-I257</f>
        <v>-32400.680134000024</v>
      </c>
      <c r="K257" s="12" t="str">
        <f xml:space="preserve"> IF(J257&gt;0, "Positive", "Negative")</f>
        <v>Negative</v>
      </c>
    </row>
    <row r="258" spans="1:11">
      <c r="A258" s="3" t="s">
        <v>65</v>
      </c>
      <c r="B258" s="5">
        <v>63043.94</v>
      </c>
      <c r="C258" s="5">
        <v>10402</v>
      </c>
      <c r="D258" s="5">
        <v>93.9</v>
      </c>
      <c r="E258" s="5">
        <v>2.71</v>
      </c>
      <c r="F258" s="12">
        <v>0</v>
      </c>
      <c r="G258" s="12">
        <v>0</v>
      </c>
      <c r="H258" s="5">
        <v>804264</v>
      </c>
      <c r="I258" s="19">
        <f xml:space="preserve"> 147642.16
+ 1.2034 * B258
+ 33.6227 * C258
+ 2893.1764 * D258
- 2862.4094 * E258
+ 11558.4348 * F258
- 244.4477 * G258</f>
        <v>837164.6972820001</v>
      </c>
      <c r="J258" s="12">
        <f>H258-I258</f>
        <v>-32900.697282000096</v>
      </c>
      <c r="K258" s="12" t="str">
        <f xml:space="preserve"> IF(J258&gt;0, "Positive", "Negative")</f>
        <v>Negative</v>
      </c>
    </row>
    <row r="259" spans="1:11">
      <c r="A259" s="3" t="s">
        <v>23</v>
      </c>
      <c r="B259" s="5">
        <v>41441.93</v>
      </c>
      <c r="C259" s="5">
        <v>4865</v>
      </c>
      <c r="D259" s="5">
        <v>88.3</v>
      </c>
      <c r="E259" s="5">
        <v>0.5</v>
      </c>
      <c r="F259" s="12">
        <v>1</v>
      </c>
      <c r="G259" s="12">
        <v>0</v>
      </c>
      <c r="H259" s="5">
        <v>591619.94999999995</v>
      </c>
      <c r="I259" s="19">
        <f xml:space="preserve"> 147642.16
+ 1.2034 * B259
+ 33.6227 * C259
+ 2893.1764 * D259
- 2862.4094 * E259
+ 11558.4348 * F259
- 244.4477 * G259</f>
        <v>626682.52028200007</v>
      </c>
      <c r="J259" s="12">
        <f>H259-I259</f>
        <v>-35062.570282000117</v>
      </c>
      <c r="K259" s="12" t="str">
        <f xml:space="preserve"> IF(J259&gt;0, "Positive", "Negative")</f>
        <v>Negative</v>
      </c>
    </row>
    <row r="260" spans="1:11">
      <c r="A260" s="3" t="s">
        <v>92</v>
      </c>
      <c r="B260" s="5">
        <v>34771.26</v>
      </c>
      <c r="C260" s="5">
        <v>4355</v>
      </c>
      <c r="D260" s="5">
        <v>87.9</v>
      </c>
      <c r="E260" s="5">
        <v>3.09</v>
      </c>
      <c r="F260" s="12">
        <v>1</v>
      </c>
      <c r="G260" s="12">
        <v>1</v>
      </c>
      <c r="H260" s="5">
        <v>555557.77</v>
      </c>
      <c r="I260" s="19">
        <f xml:space="preserve"> 147642.16
+ 1.2034 * B260
+ 33.6227 * C260
+ 2893.1764 * D260
- 2862.4094 * E260
+ 11558.4348 * F260
- 244.4477 * G260</f>
        <v>592692.1003980001</v>
      </c>
      <c r="J260" s="12">
        <f>H260-I260</f>
        <v>-37134.330398000078</v>
      </c>
      <c r="K260" s="12" t="str">
        <f xml:space="preserve"> IF(J260&gt;0, "Positive", "Negative")</f>
        <v>Negative</v>
      </c>
    </row>
    <row r="261" spans="1:11">
      <c r="A261" s="3" t="s">
        <v>39</v>
      </c>
      <c r="B261" s="5">
        <v>36813.449999999997</v>
      </c>
      <c r="C261" s="5">
        <v>2834</v>
      </c>
      <c r="D261" s="5">
        <v>81.8</v>
      </c>
      <c r="E261" s="5">
        <v>2.33</v>
      </c>
      <c r="F261" s="12">
        <v>0</v>
      </c>
      <c r="G261" s="12">
        <v>1</v>
      </c>
      <c r="H261" s="5">
        <v>479050.5</v>
      </c>
      <c r="I261" s="19">
        <f xml:space="preserve"> 147642.16
+ 1.2034 * B261
+ 33.6227 * C261
+ 2893.1764 * D261
- 2862.4094 * E261
+ 11558.4348 * F261
- 244.4477 * G261</f>
        <v>516978.16544799996</v>
      </c>
      <c r="J261" s="12">
        <f>H261-I261</f>
        <v>-37927.665447999956</v>
      </c>
      <c r="K261" s="12" t="str">
        <f xml:space="preserve"> IF(J261&gt;0, "Positive", "Negative")</f>
        <v>Negative</v>
      </c>
    </row>
    <row r="262" spans="1:11">
      <c r="A262" s="3" t="s">
        <v>51</v>
      </c>
      <c r="B262" s="5">
        <v>42415.47</v>
      </c>
      <c r="C262" s="5">
        <v>8512</v>
      </c>
      <c r="D262" s="5">
        <v>96.8</v>
      </c>
      <c r="E262" s="5">
        <v>14.95</v>
      </c>
      <c r="F262" s="12">
        <v>0</v>
      </c>
      <c r="G262" s="12">
        <v>0</v>
      </c>
      <c r="H262" s="5">
        <v>684217.32</v>
      </c>
      <c r="I262" s="19">
        <f xml:space="preserve"> 147642.16
+ 1.2034 * B262
+ 33.6227 * C262
+ 2893.1764 * D262
- 2862.4094 * E262
+ 11558.4348 * F262
- 244.4477 * G262</f>
        <v>722147.81398800004</v>
      </c>
      <c r="J262" s="12">
        <f>H262-I262</f>
        <v>-37930.493988000089</v>
      </c>
      <c r="K262" s="12" t="str">
        <f xml:space="preserve"> IF(J262&gt;0, "Positive", "Negative")</f>
        <v>Negative</v>
      </c>
    </row>
    <row r="263" spans="1:11">
      <c r="A263" s="3" t="s">
        <v>35</v>
      </c>
      <c r="B263" s="5">
        <v>53015.46</v>
      </c>
      <c r="C263" s="5">
        <v>3279</v>
      </c>
      <c r="D263" s="5">
        <v>84.3</v>
      </c>
      <c r="E263" s="5">
        <v>22.02</v>
      </c>
      <c r="F263" s="12">
        <v>0</v>
      </c>
      <c r="G263" s="12">
        <v>1</v>
      </c>
      <c r="H263" s="5">
        <v>463534.25</v>
      </c>
      <c r="I263" s="19">
        <f xml:space="preserve"> 147642.16
+ 1.2034 * B263
+ 33.6227 * C263
+ 2893.1764 * D263
- 2862.4094 * E263
+ 11558.4348 * F263
- 244.4477 * G263</f>
        <v>502309.86569599994</v>
      </c>
      <c r="J263" s="12">
        <f>H263-I263</f>
        <v>-38775.615695999935</v>
      </c>
      <c r="K263" s="12" t="str">
        <f xml:space="preserve"> IF(J263&gt;0, "Positive", "Negative")</f>
        <v>Negative</v>
      </c>
    </row>
    <row r="264" spans="1:11">
      <c r="A264" s="3" t="s">
        <v>23</v>
      </c>
      <c r="B264" s="5">
        <v>48804.22</v>
      </c>
      <c r="C264" s="5">
        <v>7057</v>
      </c>
      <c r="D264" s="5">
        <v>87.7</v>
      </c>
      <c r="E264" s="5">
        <v>1.22</v>
      </c>
      <c r="F264" s="12">
        <v>1</v>
      </c>
      <c r="G264" s="12">
        <v>0</v>
      </c>
      <c r="H264" s="5">
        <v>666152.52</v>
      </c>
      <c r="I264" s="19">
        <f xml:space="preserve"> 147642.16
+ 1.2034 * B264
+ 33.6227 * C264
+ 2893.1764 * D264
- 2862.4094 * E264
+ 11558.4348 * F264
- 244.4477 * G264</f>
        <v>705446.41786000005</v>
      </c>
      <c r="J264" s="12">
        <f>H264-I264</f>
        <v>-39293.897860000026</v>
      </c>
      <c r="K264" s="12" t="str">
        <f xml:space="preserve"> IF(J264&gt;0, "Positive", "Negative")</f>
        <v>Negative</v>
      </c>
    </row>
    <row r="265" spans="1:11">
      <c r="A265" s="3" t="s">
        <v>52</v>
      </c>
      <c r="B265" s="5">
        <v>48396.13</v>
      </c>
      <c r="C265" s="5">
        <v>4423</v>
      </c>
      <c r="D265" s="5">
        <v>85.7</v>
      </c>
      <c r="E265" s="5">
        <v>1.88</v>
      </c>
      <c r="F265" s="12">
        <v>0</v>
      </c>
      <c r="G265" s="12">
        <v>1</v>
      </c>
      <c r="H265" s="5">
        <v>557487.26</v>
      </c>
      <c r="I265" s="19">
        <f xml:space="preserve"> 147642.16
+ 1.2034 * B265
+ 33.6227 * C265
+ 2893.1764 * D265
- 2862.4094 * E265
+ 11558.4348 * F265
- 244.4477 * G265</f>
        <v>596914.70504999999</v>
      </c>
      <c r="J265" s="12">
        <f>H265-I265</f>
        <v>-39427.44504999998</v>
      </c>
      <c r="K265" s="12" t="str">
        <f xml:space="preserve"> IF(J265&gt;0, "Positive", "Negative")</f>
        <v>Negative</v>
      </c>
    </row>
    <row r="266" spans="1:11">
      <c r="A266" s="3" t="s">
        <v>96</v>
      </c>
      <c r="B266" s="5">
        <v>24362.98</v>
      </c>
      <c r="C266" s="5">
        <v>1462</v>
      </c>
      <c r="D266" s="5">
        <v>89.3</v>
      </c>
      <c r="E266" s="5">
        <v>15.06</v>
      </c>
      <c r="F266" s="12">
        <v>0</v>
      </c>
      <c r="G266" s="12">
        <v>1</v>
      </c>
      <c r="H266" s="5">
        <v>401582.58</v>
      </c>
      <c r="I266" s="19">
        <f xml:space="preserve"> 147642.16
+ 1.2034 * B266
+ 33.6227 * C266
+ 2893.1764 * D266
- 2862.4094 * E266
+ 11558.4348 * F266
- 244.4477 * G266</f>
        <v>441125.27678799996</v>
      </c>
      <c r="J266" s="12">
        <f>H266-I266</f>
        <v>-39542.696787999943</v>
      </c>
      <c r="K266" s="12" t="str">
        <f xml:space="preserve"> IF(J266&gt;0, "Positive", "Negative")</f>
        <v>Negative</v>
      </c>
    </row>
    <row r="267" spans="1:11">
      <c r="A267" s="3" t="s">
        <v>50</v>
      </c>
      <c r="B267" s="5">
        <v>33605.18</v>
      </c>
      <c r="C267" s="5">
        <v>9225</v>
      </c>
      <c r="D267" s="5">
        <v>88.4</v>
      </c>
      <c r="E267" s="5">
        <v>5.91</v>
      </c>
      <c r="F267" s="12">
        <v>0</v>
      </c>
      <c r="G267" s="12">
        <v>0</v>
      </c>
      <c r="H267" s="5">
        <v>697287.9</v>
      </c>
      <c r="I267" s="19">
        <f xml:space="preserve"> 147642.16
+ 1.2034 * B267
+ 33.6227 * C267
+ 2893.1764 * D267
- 2862.4094 * E267
+ 11558.4348 * F267
- 244.4477 * G267</f>
        <v>737091.99531800009</v>
      </c>
      <c r="J267" s="12">
        <f>H267-I267</f>
        <v>-39804.095318000065</v>
      </c>
      <c r="K267" s="12" t="str">
        <f xml:space="preserve"> IF(J267&gt;0, "Positive", "Negative")</f>
        <v>Negative</v>
      </c>
    </row>
    <row r="268" spans="1:11">
      <c r="A268" s="3" t="s">
        <v>52</v>
      </c>
      <c r="B268" s="5">
        <v>43896.13</v>
      </c>
      <c r="C268" s="5">
        <v>3853</v>
      </c>
      <c r="D268" s="5">
        <v>83</v>
      </c>
      <c r="E268" s="5">
        <v>6.8</v>
      </c>
      <c r="F268" s="12">
        <v>0</v>
      </c>
      <c r="G268" s="12">
        <v>1</v>
      </c>
      <c r="H268" s="5">
        <v>509484.81</v>
      </c>
      <c r="I268" s="19">
        <f xml:space="preserve"> 147642.16
+ 1.2034 * B268
+ 33.6227 * C268
+ 2893.1764 * D268
- 2862.4094 * E268
+ 11558.4348 * F268
- 244.4477 * G268</f>
        <v>550439.83552199986</v>
      </c>
      <c r="J268" s="12">
        <f>H268-I268</f>
        <v>-40955.025521999865</v>
      </c>
      <c r="K268" s="12" t="str">
        <f xml:space="preserve"> IF(J268&gt;0, "Positive", "Negative")</f>
        <v>Negative</v>
      </c>
    </row>
    <row r="269" spans="1:11">
      <c r="A269" s="3" t="s">
        <v>23</v>
      </c>
      <c r="B269" s="5">
        <v>59117.9</v>
      </c>
      <c r="C269" s="5">
        <v>4263</v>
      </c>
      <c r="D269" s="5">
        <v>87.6</v>
      </c>
      <c r="E269" s="5">
        <v>4.01</v>
      </c>
      <c r="F269" s="12">
        <v>1</v>
      </c>
      <c r="G269" s="12">
        <v>0</v>
      </c>
      <c r="H269" s="5">
        <v>573155.18999999994</v>
      </c>
      <c r="I269" s="19">
        <f xml:space="preserve"> 147642.16
+ 1.2034 * B269
+ 33.6227 * C269
+ 2893.1764 * D269
- 2862.4094 * E269
+ 11558.4348 * F269
- 244.4477 * G269</f>
        <v>615640.63670599996</v>
      </c>
      <c r="J269" s="12">
        <f>H269-I269</f>
        <v>-42485.446706000017</v>
      </c>
      <c r="K269" s="12" t="str">
        <f xml:space="preserve"> IF(J269&gt;0, "Positive", "Negative")</f>
        <v>Negative</v>
      </c>
    </row>
    <row r="270" spans="1:11">
      <c r="A270" s="3" t="s">
        <v>33</v>
      </c>
      <c r="B270" s="5">
        <v>63630.21</v>
      </c>
      <c r="C270" s="5">
        <v>4460</v>
      </c>
      <c r="D270" s="5">
        <v>98.6</v>
      </c>
      <c r="E270" s="5">
        <v>5.52</v>
      </c>
      <c r="F270" s="12">
        <v>0</v>
      </c>
      <c r="G270" s="12">
        <v>0</v>
      </c>
      <c r="H270" s="5">
        <v>599603.4</v>
      </c>
      <c r="I270" s="19">
        <f xml:space="preserve"> 147642.16
+ 1.2034 * B270
+ 33.6227 * C270
+ 2893.1764 * D270
- 2862.4094 * E270
+ 11558.4348 * F270
- 244.4477 * G270</f>
        <v>643638.68986599997</v>
      </c>
      <c r="J270" s="12">
        <f>H270-I270</f>
        <v>-44035.289865999948</v>
      </c>
      <c r="K270" s="12" t="str">
        <f xml:space="preserve"> IF(J270&gt;0, "Positive", "Negative")</f>
        <v>Negative</v>
      </c>
    </row>
    <row r="271" spans="1:11">
      <c r="A271" s="3" t="s">
        <v>100</v>
      </c>
      <c r="B271" s="5">
        <v>46767.99</v>
      </c>
      <c r="C271" s="5">
        <v>7973</v>
      </c>
      <c r="D271" s="5">
        <v>94.8</v>
      </c>
      <c r="E271" s="5">
        <v>4.67</v>
      </c>
      <c r="F271" s="12">
        <v>0</v>
      </c>
      <c r="G271" s="12">
        <v>0</v>
      </c>
      <c r="H271" s="5">
        <v>688368.46</v>
      </c>
      <c r="I271" s="19">
        <f xml:space="preserve"> 147642.16
+ 1.2034 * B271
+ 33.6227 * C271
+ 2893.1764 * D271
- 2862.4094 * E271
+ 11558.4348 * F271
- 244.4477 * G271</f>
        <v>732902.21708800003</v>
      </c>
      <c r="J271" s="12">
        <f>H271-I271</f>
        <v>-44533.757088000071</v>
      </c>
      <c r="K271" s="12" t="str">
        <f xml:space="preserve"> IF(J271&gt;0, "Positive", "Negative")</f>
        <v>Negative</v>
      </c>
    </row>
    <row r="272" spans="1:11">
      <c r="A272" s="3" t="s">
        <v>71</v>
      </c>
      <c r="B272" s="5">
        <v>54479.33</v>
      </c>
      <c r="C272" s="5">
        <v>5012</v>
      </c>
      <c r="D272" s="5">
        <v>86</v>
      </c>
      <c r="E272" s="5">
        <v>2.2400000000000002</v>
      </c>
      <c r="F272" s="12">
        <v>0</v>
      </c>
      <c r="G272" s="12">
        <v>0</v>
      </c>
      <c r="H272" s="5">
        <v>578949.84</v>
      </c>
      <c r="I272" s="19">
        <f xml:space="preserve"> 147642.16
+ 1.2034 * B272
+ 33.6227 * C272
+ 2893.1764 * D272
- 2862.4094 * E272
+ 11558.4348 * F272
- 244.4477 * G272</f>
        <v>624120.93146599992</v>
      </c>
      <c r="J272" s="12">
        <f>H272-I272</f>
        <v>-45171.091465999954</v>
      </c>
      <c r="K272" s="12" t="str">
        <f xml:space="preserve"> IF(J272&gt;0, "Positive", "Negative")</f>
        <v>Negative</v>
      </c>
    </row>
    <row r="273" spans="1:11">
      <c r="A273" s="3" t="s">
        <v>23</v>
      </c>
      <c r="B273" s="5">
        <v>78831.12</v>
      </c>
      <c r="C273" s="5">
        <v>5538</v>
      </c>
      <c r="D273" s="5">
        <v>94.1</v>
      </c>
      <c r="E273" s="5">
        <v>0.2</v>
      </c>
      <c r="F273" s="12">
        <v>1</v>
      </c>
      <c r="G273" s="12">
        <v>0</v>
      </c>
      <c r="H273" s="5">
        <v>666573.19999999995</v>
      </c>
      <c r="I273" s="19">
        <f xml:space="preserve"> 147642.16
+ 1.2034 * B273
+ 33.6227 * C273
+ 2893.1764 * D273
- 2862.4094 * E273
+ 11558.4348 * F273
- 244.4477 * G273</f>
        <v>711943.89456799999</v>
      </c>
      <c r="J273" s="12">
        <f>H273-I273</f>
        <v>-45370.694568000035</v>
      </c>
      <c r="K273" s="12" t="str">
        <f xml:space="preserve"> IF(J273&gt;0, "Positive", "Negative")</f>
        <v>Negative</v>
      </c>
    </row>
    <row r="274" spans="1:11">
      <c r="A274" s="3" t="s">
        <v>41</v>
      </c>
      <c r="B274" s="5">
        <v>77999.899999999994</v>
      </c>
      <c r="C274" s="5">
        <v>5974</v>
      </c>
      <c r="D274" s="5">
        <v>81.3</v>
      </c>
      <c r="E274" s="5">
        <v>2.39</v>
      </c>
      <c r="F274" s="12">
        <v>1</v>
      </c>
      <c r="G274" s="12">
        <v>1</v>
      </c>
      <c r="H274" s="5">
        <v>636561.34</v>
      </c>
      <c r="I274" s="19">
        <f xml:space="preserve"> 147642.16
+ 1.2034 * B274
+ 33.6227 * C274
+ 2893.1764 * D274
- 2862.4094 * E274
+ 11558.4348 * F274
- 244.4477 * G274</f>
        <v>682057.31941399991</v>
      </c>
      <c r="J274" s="12">
        <f>H274-I274</f>
        <v>-45495.979413999943</v>
      </c>
      <c r="K274" s="12" t="str">
        <f xml:space="preserve"> IF(J274&gt;0, "Positive", "Negative")</f>
        <v>Negative</v>
      </c>
    </row>
    <row r="275" spans="1:11">
      <c r="A275" s="3" t="s">
        <v>35</v>
      </c>
      <c r="B275" s="5">
        <v>27808.6</v>
      </c>
      <c r="C275" s="5">
        <v>2863</v>
      </c>
      <c r="D275" s="5">
        <v>89.3</v>
      </c>
      <c r="E275" s="5">
        <v>0.47</v>
      </c>
      <c r="F275" s="12">
        <v>0</v>
      </c>
      <c r="G275" s="12">
        <v>1</v>
      </c>
      <c r="H275" s="5">
        <v>487464.91</v>
      </c>
      <c r="I275" s="19">
        <f xml:space="preserve"> 147642.16
+ 1.2034 * B275
+ 33.6227 * C275
+ 2893.1764 * D275
- 2862.4094 * E275
+ 11558.4348 * F275
- 244.4477 * G275</f>
        <v>534139.69174199994</v>
      </c>
      <c r="J275" s="12">
        <f>H275-I275</f>
        <v>-46674.781741999963</v>
      </c>
      <c r="K275" s="12" t="str">
        <f xml:space="preserve"> IF(J275&gt;0, "Positive", "Negative")</f>
        <v>Negative</v>
      </c>
    </row>
    <row r="276" spans="1:11">
      <c r="A276" s="3" t="s">
        <v>79</v>
      </c>
      <c r="B276" s="5">
        <v>33173.949999999997</v>
      </c>
      <c r="C276" s="5">
        <v>6545</v>
      </c>
      <c r="D276" s="5">
        <v>84.4</v>
      </c>
      <c r="E276" s="5">
        <v>2.48</v>
      </c>
      <c r="F276" s="12">
        <v>0</v>
      </c>
      <c r="G276" s="12">
        <v>1</v>
      </c>
      <c r="H276" s="5">
        <v>596969.27</v>
      </c>
      <c r="I276" s="19">
        <f xml:space="preserve"> 147642.16
+ 1.2034 * B276
+ 33.6227 * C276
+ 2893.1764 * D276
- 2862.4094 * E276
+ 11558.4348 * F276
- 244.4477 * G276</f>
        <v>644465.12807800004</v>
      </c>
      <c r="J276" s="12">
        <f>H276-I276</f>
        <v>-47495.858078000019</v>
      </c>
      <c r="K276" s="12" t="str">
        <f xml:space="preserve"> IF(J276&gt;0, "Positive", "Negative")</f>
        <v>Negative</v>
      </c>
    </row>
    <row r="277" spans="1:11">
      <c r="A277" s="3" t="s">
        <v>17</v>
      </c>
      <c r="B277" s="5">
        <v>48412.639999999999</v>
      </c>
      <c r="C277" s="5">
        <v>9545</v>
      </c>
      <c r="D277" s="5">
        <v>97.6</v>
      </c>
      <c r="E277" s="5">
        <v>6.94</v>
      </c>
      <c r="F277" s="12">
        <v>0</v>
      </c>
      <c r="G277" s="12">
        <v>1</v>
      </c>
      <c r="H277" s="5">
        <v>741341.44</v>
      </c>
      <c r="I277" s="19">
        <f xml:space="preserve"> 147642.16
+ 1.2034 * B277
+ 33.6227 * C277
+ 2893.1764 * D277
- 2862.4094 * E277
+ 11558.4348 * F277
- 244.4477 * G277</f>
        <v>789095.0501799999</v>
      </c>
      <c r="J277" s="12">
        <f>H277-I277</f>
        <v>-47753.61017999996</v>
      </c>
      <c r="K277" s="12" t="str">
        <f xml:space="preserve"> IF(J277&gt;0, "Positive", "Negative")</f>
        <v>Negative</v>
      </c>
    </row>
    <row r="278" spans="1:11">
      <c r="A278" s="3" t="s">
        <v>65</v>
      </c>
      <c r="B278" s="5">
        <v>43645.98</v>
      </c>
      <c r="C278" s="5">
        <v>9480</v>
      </c>
      <c r="D278" s="5">
        <v>89</v>
      </c>
      <c r="E278" s="5">
        <v>2.11</v>
      </c>
      <c r="F278" s="12">
        <v>0</v>
      </c>
      <c r="G278" s="12">
        <v>0</v>
      </c>
      <c r="H278" s="5">
        <v>721364.11</v>
      </c>
      <c r="I278" s="19">
        <f xml:space="preserve"> 147642.16
+ 1.2034 * B278
+ 33.6227 * C278
+ 2893.1764 * D278
- 2862.4094 * E278
+ 11558.4348 * F278
- 244.4477 * G278</f>
        <v>770361.94409799995</v>
      </c>
      <c r="J278" s="12">
        <f>H278-I278</f>
        <v>-48997.834097999963</v>
      </c>
      <c r="K278" s="12" t="str">
        <f xml:space="preserve"> IF(J278&gt;0, "Positive", "Negative")</f>
        <v>Negative</v>
      </c>
    </row>
    <row r="279" spans="1:11">
      <c r="A279" s="3" t="s">
        <v>91</v>
      </c>
      <c r="B279" s="5">
        <v>61784.11</v>
      </c>
      <c r="C279" s="5">
        <v>8564</v>
      </c>
      <c r="D279" s="5">
        <v>87.4</v>
      </c>
      <c r="E279" s="5">
        <v>18.14</v>
      </c>
      <c r="F279" s="12">
        <v>1</v>
      </c>
      <c r="G279" s="12">
        <v>0</v>
      </c>
      <c r="H279" s="5">
        <v>673076.34</v>
      </c>
      <c r="I279" s="19">
        <f xml:space="preserve"> 147642.16
+ 1.2034 * B279
+ 33.6227 * C279
+ 2893.1764 * D279
- 2862.4094 * E279
+ 11558.4348 * F279
- 244.4477 * G279</f>
        <v>722435.90641800012</v>
      </c>
      <c r="J279" s="12">
        <f>H279-I279</f>
        <v>-49359.566418000148</v>
      </c>
      <c r="K279" s="12" t="str">
        <f xml:space="preserve"> IF(J279&gt;0, "Positive", "Negative")</f>
        <v>Negative</v>
      </c>
    </row>
    <row r="280" spans="1:11">
      <c r="A280" s="3" t="s">
        <v>58</v>
      </c>
      <c r="B280" s="5">
        <v>70488.2</v>
      </c>
      <c r="C280" s="5">
        <v>4312</v>
      </c>
      <c r="D280" s="5">
        <v>90.2</v>
      </c>
      <c r="E280" s="5">
        <v>3.71</v>
      </c>
      <c r="F280" s="12">
        <v>0</v>
      </c>
      <c r="G280" s="12">
        <v>0</v>
      </c>
      <c r="H280" s="5">
        <v>577732.56999999995</v>
      </c>
      <c r="I280" s="19">
        <f xml:space="preserve"> 147642.16
+ 1.2034 * B280
+ 33.6227 * C280
+ 2893.1764 * D280
- 2862.4094 * E280
+ 11558.4348 * F280
- 244.4477 * G280</f>
        <v>627793.71468600002</v>
      </c>
      <c r="J280" s="12">
        <f>H280-I280</f>
        <v>-50061.144686000072</v>
      </c>
      <c r="K280" s="12" t="str">
        <f xml:space="preserve"> IF(J280&gt;0, "Positive", "Negative")</f>
        <v>Negative</v>
      </c>
    </row>
    <row r="281" spans="1:11">
      <c r="A281" s="3" t="s">
        <v>83</v>
      </c>
      <c r="B281" s="5">
        <v>57390.04</v>
      </c>
      <c r="C281" s="5">
        <v>7374</v>
      </c>
      <c r="D281" s="5">
        <v>91.8</v>
      </c>
      <c r="E281" s="5">
        <v>0.2</v>
      </c>
      <c r="F281" s="12">
        <v>0</v>
      </c>
      <c r="G281" s="12">
        <v>1</v>
      </c>
      <c r="H281" s="5">
        <v>679230.86</v>
      </c>
      <c r="I281" s="19">
        <f xml:space="preserve"> 147642.16
+ 1.2034 * B281
+ 33.6227 * C281
+ 2893.1764 * D281
- 2862.4094 * E281
+ 11558.4348 * F281
- 244.4477 * G281</f>
        <v>729415.78787600005</v>
      </c>
      <c r="J281" s="12">
        <f>H281-I281</f>
        <v>-50184.92787600006</v>
      </c>
      <c r="K281" s="12" t="str">
        <f xml:space="preserve"> IF(J281&gt;0, "Positive", "Negative")</f>
        <v>Negative</v>
      </c>
    </row>
    <row r="282" spans="1:11">
      <c r="A282" s="3" t="s">
        <v>55</v>
      </c>
      <c r="B282" s="5">
        <v>70276.28</v>
      </c>
      <c r="C282" s="5">
        <v>3043</v>
      </c>
      <c r="D282" s="5">
        <v>87.9</v>
      </c>
      <c r="E282" s="5">
        <v>3.77</v>
      </c>
      <c r="F282" s="12">
        <v>0</v>
      </c>
      <c r="G282" s="12">
        <v>1</v>
      </c>
      <c r="H282" s="5">
        <v>527300.13</v>
      </c>
      <c r="I282" s="19">
        <f xml:space="preserve"> 147642.16
+ 1.2034 * B282
+ 33.6227 * C282
+ 2893.1764 * D282
- 2862.4094 * E282
+ 11558.4348 * F282
- 244.4477 * G282</f>
        <v>577800.98587400001</v>
      </c>
      <c r="J282" s="12">
        <f>H282-I282</f>
        <v>-50500.855874000001</v>
      </c>
      <c r="K282" s="12" t="str">
        <f xml:space="preserve"> IF(J282&gt;0, "Positive", "Negative")</f>
        <v>Negative</v>
      </c>
    </row>
    <row r="283" spans="1:11">
      <c r="A283" s="3" t="s">
        <v>40</v>
      </c>
      <c r="B283" s="5">
        <v>58749.63</v>
      </c>
      <c r="C283" s="5">
        <v>8252</v>
      </c>
      <c r="D283" s="5">
        <v>85.2</v>
      </c>
      <c r="E283" s="5">
        <v>3.61</v>
      </c>
      <c r="F283" s="12">
        <v>0</v>
      </c>
      <c r="G283" s="12">
        <v>0</v>
      </c>
      <c r="H283" s="5">
        <v>680840.36</v>
      </c>
      <c r="I283" s="19">
        <f xml:space="preserve"> 147642.16
+ 1.2034 * B283
+ 33.6227 * C283
+ 2893.1764 * D283
- 2862.4094 * E283
+ 11558.4348 * F283
- 244.4477 * G283</f>
        <v>731961.31648799998</v>
      </c>
      <c r="J283" s="12">
        <f>H283-I283</f>
        <v>-51120.956487999996</v>
      </c>
      <c r="K283" s="12" t="str">
        <f xml:space="preserve"> IF(J283&gt;0, "Positive", "Negative")</f>
        <v>Negative</v>
      </c>
    </row>
    <row r="284" spans="1:11">
      <c r="A284" s="3" t="s">
        <v>60</v>
      </c>
      <c r="B284" s="5">
        <v>61433.84</v>
      </c>
      <c r="C284" s="5">
        <v>7745</v>
      </c>
      <c r="D284" s="5">
        <v>90.5</v>
      </c>
      <c r="E284" s="5">
        <v>2.2599999999999998</v>
      </c>
      <c r="F284" s="12">
        <v>0</v>
      </c>
      <c r="G284" s="12">
        <v>1</v>
      </c>
      <c r="H284" s="5">
        <v>685830.24</v>
      </c>
      <c r="I284" s="19">
        <f xml:space="preserve"> 147642.16
+ 1.2034 * B284
+ 33.6227 * C284
+ 2893.1764 * D284
- 2862.4094 * E284
+ 11558.4348 * F284
- 244.4477 * G284</f>
        <v>737098.42581199994</v>
      </c>
      <c r="J284" s="12">
        <f>H284-I284</f>
        <v>-51268.185811999952</v>
      </c>
      <c r="K284" s="12" t="str">
        <f xml:space="preserve"> IF(J284&gt;0, "Positive", "Negative")</f>
        <v>Negative</v>
      </c>
    </row>
    <row r="285" spans="1:11">
      <c r="A285" s="3" t="s">
        <v>94</v>
      </c>
      <c r="B285" s="5">
        <v>68909.259999999995</v>
      </c>
      <c r="C285" s="5">
        <v>7794</v>
      </c>
      <c r="D285" s="5">
        <v>89</v>
      </c>
      <c r="E285" s="5">
        <v>0.33</v>
      </c>
      <c r="F285" s="12">
        <v>0</v>
      </c>
      <c r="G285" s="12">
        <v>0</v>
      </c>
      <c r="H285" s="5">
        <v>696261.49</v>
      </c>
      <c r="I285" s="19">
        <f xml:space="preserve"> 147642.16
+ 1.2034 * B285
+ 33.6227 * C285
+ 2893.1764 * D285
- 2862.4094 * E285
+ 11558.4348 * F285
- 244.4477 * G285</f>
        <v>749170.99178199994</v>
      </c>
      <c r="J285" s="12">
        <f>H285-I285</f>
        <v>-52909.501781999948</v>
      </c>
      <c r="K285" s="12" t="str">
        <f xml:space="preserve"> IF(J285&gt;0, "Positive", "Negative")</f>
        <v>Negative</v>
      </c>
    </row>
    <row r="286" spans="1:11">
      <c r="A286" s="3" t="s">
        <v>14</v>
      </c>
      <c r="B286" s="5">
        <v>70389.11</v>
      </c>
      <c r="C286" s="5">
        <v>8302</v>
      </c>
      <c r="D286" s="5">
        <v>75</v>
      </c>
      <c r="E286" s="5">
        <v>5.28</v>
      </c>
      <c r="F286" s="12">
        <v>0</v>
      </c>
      <c r="G286" s="12">
        <v>0</v>
      </c>
      <c r="H286" s="5">
        <v>658832.62</v>
      </c>
      <c r="I286" s="19">
        <f xml:space="preserve"> 147642.16
+ 1.2034 * B286
+ 33.6227 * C286
+ 2893.1764 * D286
- 2862.4094 * E286
+ 11558.4348 * F286
- 244.4477 * G286</f>
        <v>713358.77874199999</v>
      </c>
      <c r="J286" s="12">
        <f>H286-I286</f>
        <v>-54526.158742</v>
      </c>
      <c r="K286" s="12" t="str">
        <f xml:space="preserve"> IF(J286&gt;0, "Positive", "Negative")</f>
        <v>Negative</v>
      </c>
    </row>
    <row r="287" spans="1:11">
      <c r="A287" s="3" t="s">
        <v>99</v>
      </c>
      <c r="B287" s="5">
        <v>23702.38</v>
      </c>
      <c r="C287" s="5">
        <v>5285</v>
      </c>
      <c r="D287" s="5">
        <v>79.7</v>
      </c>
      <c r="E287" s="5">
        <v>1.1000000000000001</v>
      </c>
      <c r="F287" s="12">
        <v>1</v>
      </c>
      <c r="G287" s="12">
        <v>1</v>
      </c>
      <c r="H287" s="5">
        <v>536524.84</v>
      </c>
      <c r="I287" s="19">
        <f xml:space="preserve"> 147642.16
+ 1.2034 * B287
+ 33.6227 * C287
+ 2893.1764 * D287
- 2862.4094 * E287
+ 11558.4348 * F287
- 244.4477 * G287</f>
        <v>592613.06943199993</v>
      </c>
      <c r="J287" s="12">
        <f>H287-I287</f>
        <v>-56088.229431999964</v>
      </c>
      <c r="K287" s="12" t="str">
        <f xml:space="preserve"> IF(J287&gt;0, "Positive", "Negative")</f>
        <v>Negative</v>
      </c>
    </row>
    <row r="288" spans="1:11">
      <c r="A288" s="3" t="s">
        <v>62</v>
      </c>
      <c r="B288" s="5">
        <v>41443.410000000003</v>
      </c>
      <c r="C288" s="5">
        <v>7455</v>
      </c>
      <c r="D288" s="5">
        <v>90.1</v>
      </c>
      <c r="E288" s="5">
        <v>4.05</v>
      </c>
      <c r="F288" s="12">
        <v>1</v>
      </c>
      <c r="G288" s="12">
        <v>1</v>
      </c>
      <c r="H288" s="5">
        <v>650480.06000000006</v>
      </c>
      <c r="I288" s="19">
        <f xml:space="preserve"> 147642.16
+ 1.2034 * B288
+ 33.6227 * C288
+ 2893.1764 * D288
- 2862.4094 * E288
+ 11558.4348 * F288
- 244.4477 * G288</f>
        <v>708568.81076400005</v>
      </c>
      <c r="J288" s="12">
        <f>H288-I288</f>
        <v>-58088.750763999997</v>
      </c>
      <c r="K288" s="12" t="str">
        <f xml:space="preserve"> IF(J288&gt;0, "Positive", "Negative")</f>
        <v>Negative</v>
      </c>
    </row>
    <row r="289" spans="1:11">
      <c r="A289" s="3" t="s">
        <v>36</v>
      </c>
      <c r="B289" s="5">
        <v>118910.48</v>
      </c>
      <c r="C289" s="5">
        <v>4022</v>
      </c>
      <c r="D289" s="5">
        <v>87.1</v>
      </c>
      <c r="E289" s="5">
        <v>0.2</v>
      </c>
      <c r="F289" s="12">
        <v>0</v>
      </c>
      <c r="G289" s="12">
        <v>0</v>
      </c>
      <c r="H289" s="5">
        <v>617291.15</v>
      </c>
      <c r="I289" s="19">
        <f xml:space="preserve"> 147642.16
+ 1.2034 * B289
+ 33.6227 * C289
+ 2893.1764 * D289
- 2862.4094 * E289
+ 11558.4348 * F289
- 244.4477 * G289</f>
        <v>677392.71359199996</v>
      </c>
      <c r="J289" s="12">
        <f>H289-I289</f>
        <v>-60101.563591999933</v>
      </c>
      <c r="K289" s="12" t="str">
        <f xml:space="preserve"> IF(J289&gt;0, "Positive", "Negative")</f>
        <v>Negative</v>
      </c>
    </row>
    <row r="290" spans="1:11">
      <c r="A290" s="3" t="s">
        <v>92</v>
      </c>
      <c r="B290" s="5">
        <v>45940.39</v>
      </c>
      <c r="C290" s="5">
        <v>4022</v>
      </c>
      <c r="D290" s="5">
        <v>83</v>
      </c>
      <c r="E290" s="5">
        <v>1.23</v>
      </c>
      <c r="F290" s="12">
        <v>1</v>
      </c>
      <c r="G290" s="12">
        <v>1</v>
      </c>
      <c r="H290" s="5">
        <v>524899.56999999995</v>
      </c>
      <c r="I290" s="19">
        <f xml:space="preserve"> 147642.16
+ 1.2034 * B290
+ 33.6227 * C290
+ 2893.1764 * D290
- 2862.4094 * E290
+ 11558.4348 * F290
- 244.4477 * G290</f>
        <v>586084.18946399994</v>
      </c>
      <c r="J290" s="12">
        <f>H290-I290</f>
        <v>-61184.619463999989</v>
      </c>
      <c r="K290" s="12" t="str">
        <f xml:space="preserve"> IF(J290&gt;0, "Positive", "Negative")</f>
        <v>Negative</v>
      </c>
    </row>
    <row r="291" spans="1:11">
      <c r="A291" s="3" t="s">
        <v>29</v>
      </c>
      <c r="B291" s="5">
        <v>69816.350000000006</v>
      </c>
      <c r="C291" s="5">
        <v>971</v>
      </c>
      <c r="D291" s="5">
        <v>89.9</v>
      </c>
      <c r="E291" s="5">
        <v>12.15</v>
      </c>
      <c r="F291" s="12">
        <v>0</v>
      </c>
      <c r="G291" s="12">
        <v>0</v>
      </c>
      <c r="H291" s="5">
        <v>427917.38</v>
      </c>
      <c r="I291" s="19">
        <f xml:space="preserve"> 147642.16
+ 1.2034 * B291
+ 33.6227 * C291
+ 2893.1764 * D291
- 2862.4094 * E291
+ 11558.4348 * F291
- 244.4477 * G291</f>
        <v>489625.08144000004</v>
      </c>
      <c r="J291" s="12">
        <f>H291-I291</f>
        <v>-61707.701440000033</v>
      </c>
      <c r="K291" s="12" t="str">
        <f xml:space="preserve"> IF(J291&gt;0, "Positive", "Negative")</f>
        <v>Negative</v>
      </c>
    </row>
    <row r="292" spans="1:11">
      <c r="A292" s="3" t="s">
        <v>70</v>
      </c>
      <c r="B292" s="5">
        <v>41657.64</v>
      </c>
      <c r="C292" s="5">
        <v>3135</v>
      </c>
      <c r="D292" s="5">
        <v>85.4</v>
      </c>
      <c r="E292" s="5">
        <v>13.48</v>
      </c>
      <c r="F292" s="12">
        <v>0</v>
      </c>
      <c r="G292" s="12">
        <v>0</v>
      </c>
      <c r="H292" s="5">
        <v>449465.06</v>
      </c>
      <c r="I292" s="19">
        <f xml:space="preserve"> 147642.16
+ 1.2034 * B292
+ 33.6227 * C292
+ 2893.1764 * D292
- 2862.4094 * E292
+ 11558.4348 * F292
- 244.4477 * G292</f>
        <v>511672.11432399997</v>
      </c>
      <c r="J292" s="12">
        <f>H292-I292</f>
        <v>-62207.054323999968</v>
      </c>
      <c r="K292" s="12" t="str">
        <f xml:space="preserve"> IF(J292&gt;0, "Positive", "Negative")</f>
        <v>Negative</v>
      </c>
    </row>
    <row r="293" spans="1:11">
      <c r="A293" s="3" t="s">
        <v>70</v>
      </c>
      <c r="B293" s="5">
        <v>81796.740000000005</v>
      </c>
      <c r="C293" s="5">
        <v>6177</v>
      </c>
      <c r="D293" s="5">
        <v>87.9</v>
      </c>
      <c r="E293" s="5">
        <v>0.53</v>
      </c>
      <c r="F293" s="12">
        <v>0</v>
      </c>
      <c r="G293" s="12">
        <v>0</v>
      </c>
      <c r="H293" s="5">
        <v>643428.85</v>
      </c>
      <c r="I293" s="19">
        <f xml:space="preserve"> 147642.16
+ 1.2034 * B293
+ 33.6227 * C293
+ 2893.1764 * D293
- 2862.4094 * E293
+ 11558.4348 * F293
- 244.4477 * G293</f>
        <v>706556.90339400002</v>
      </c>
      <c r="J293" s="12">
        <f>H293-I293</f>
        <v>-63128.053394000046</v>
      </c>
      <c r="K293" s="12" t="str">
        <f xml:space="preserve"> IF(J293&gt;0, "Positive", "Negative")</f>
        <v>Negative</v>
      </c>
    </row>
    <row r="294" spans="1:11">
      <c r="A294" s="3" t="s">
        <v>54</v>
      </c>
      <c r="B294" s="5">
        <v>50735.63</v>
      </c>
      <c r="C294" s="5">
        <v>9619</v>
      </c>
      <c r="D294" s="5">
        <v>93.8</v>
      </c>
      <c r="E294" s="5">
        <v>5.12</v>
      </c>
      <c r="F294" s="12">
        <v>0</v>
      </c>
      <c r="G294" s="12">
        <v>1</v>
      </c>
      <c r="H294" s="5">
        <v>725235.28</v>
      </c>
      <c r="I294" s="19">
        <f xml:space="preserve"> 147642.16
+ 1.2034 * B294
+ 33.6227 * C294
+ 2893.1764 * D294
- 2862.4094 * E294
+ 11558.4348 * F294
- 244.4477 * G294</f>
        <v>788594.1309339999</v>
      </c>
      <c r="J294" s="12">
        <f>H294-I294</f>
        <v>-63358.850933999871</v>
      </c>
      <c r="K294" s="12" t="str">
        <f xml:space="preserve"> IF(J294&gt;0, "Positive", "Negative")</f>
        <v>Negative</v>
      </c>
    </row>
    <row r="295" spans="1:11">
      <c r="A295" s="3" t="s">
        <v>73</v>
      </c>
      <c r="B295" s="5">
        <v>37983.35</v>
      </c>
      <c r="C295" s="5">
        <v>9283</v>
      </c>
      <c r="D295" s="5">
        <v>83.2</v>
      </c>
      <c r="E295" s="5">
        <v>3.82</v>
      </c>
      <c r="F295" s="12">
        <v>0</v>
      </c>
      <c r="G295" s="12">
        <v>0</v>
      </c>
      <c r="H295" s="5">
        <v>671868.59</v>
      </c>
      <c r="I295" s="19">
        <f xml:space="preserve"> 147642.16
+ 1.2034 * B295
+ 33.6227 * C295
+ 2893.1764 * D295
- 2862.4094 * E295
+ 11558.4348 * F295
- 244.4477 * G295</f>
        <v>735248.72006200009</v>
      </c>
      <c r="J295" s="12">
        <f>H295-I295</f>
        <v>-63380.130062000128</v>
      </c>
      <c r="K295" s="12" t="str">
        <f xml:space="preserve"> IF(J295&gt;0, "Positive", "Negative")</f>
        <v>Negative</v>
      </c>
    </row>
    <row r="296" spans="1:11">
      <c r="A296" s="3" t="s">
        <v>69</v>
      </c>
      <c r="B296" s="5">
        <v>54966.18</v>
      </c>
      <c r="C296" s="5">
        <v>4423</v>
      </c>
      <c r="D296" s="5">
        <v>88.7</v>
      </c>
      <c r="E296" s="5">
        <v>0.2</v>
      </c>
      <c r="F296" s="12">
        <v>0</v>
      </c>
      <c r="G296" s="12">
        <v>1</v>
      </c>
      <c r="H296" s="5">
        <v>554012.06999999995</v>
      </c>
      <c r="I296" s="19">
        <f xml:space="preserve"> 147642.16
+ 1.2034 * B296
+ 33.6227 * C296
+ 2893.1764 * D296
- 2862.4094 * E296
+ 11558.4348 * F296
- 244.4477 * G296</f>
        <v>618309.48021199997</v>
      </c>
      <c r="J296" s="12">
        <f>H296-I296</f>
        <v>-64297.410212000017</v>
      </c>
      <c r="K296" s="12" t="str">
        <f xml:space="preserve"> IF(J296&gt;0, "Positive", "Negative")</f>
        <v>Negative</v>
      </c>
    </row>
    <row r="297" spans="1:11">
      <c r="A297" s="3" t="s">
        <v>40</v>
      </c>
      <c r="B297" s="5">
        <v>53762.92</v>
      </c>
      <c r="C297" s="5">
        <v>6821</v>
      </c>
      <c r="D297" s="5">
        <v>94.6</v>
      </c>
      <c r="E297" s="5">
        <v>7.03</v>
      </c>
      <c r="F297" s="12">
        <v>0</v>
      </c>
      <c r="G297" s="12">
        <v>0</v>
      </c>
      <c r="H297" s="5">
        <v>630829.93999999994</v>
      </c>
      <c r="I297" s="19">
        <f xml:space="preserve"> 147642.16
+ 1.2034 * B297
+ 33.6227 * C297
+ 2893.1764 * D297
- 2862.4094 * E297
+ 11558.4348 * F297
- 244.4477 * G297</f>
        <v>695252.64398599998</v>
      </c>
      <c r="J297" s="12">
        <f>H297-I297</f>
        <v>-64422.703986000037</v>
      </c>
      <c r="K297" s="12" t="str">
        <f xml:space="preserve"> IF(J297&gt;0, "Positive", "Negative")</f>
        <v>Negative</v>
      </c>
    </row>
    <row r="298" spans="1:11">
      <c r="A298" s="3" t="s">
        <v>81</v>
      </c>
      <c r="B298" s="5">
        <v>46495.4</v>
      </c>
      <c r="C298" s="5">
        <v>9908</v>
      </c>
      <c r="D298" s="5">
        <v>89.4</v>
      </c>
      <c r="E298" s="5">
        <v>3.22</v>
      </c>
      <c r="F298" s="12">
        <v>0</v>
      </c>
      <c r="G298" s="12">
        <v>0</v>
      </c>
      <c r="H298" s="5">
        <v>721079.35</v>
      </c>
      <c r="I298" s="19">
        <f xml:space="preserve"> 147642.16
+ 1.2034 * B298
+ 33.6227 * C298
+ 2893.1764 * D298
- 2862.4094 * E298
+ 11558.4348 * F298
- 244.4477 * G298</f>
        <v>786161.44785200001</v>
      </c>
      <c r="J298" s="12">
        <f>H298-I298</f>
        <v>-65082.097852000035</v>
      </c>
      <c r="K298" s="12" t="str">
        <f xml:space="preserve"> IF(J298&gt;0, "Positive", "Negative")</f>
        <v>Negative</v>
      </c>
    </row>
    <row r="299" spans="1:11">
      <c r="A299" s="3" t="s">
        <v>55</v>
      </c>
      <c r="B299" s="5">
        <v>22071.64</v>
      </c>
      <c r="C299" s="5">
        <v>1814</v>
      </c>
      <c r="D299" s="5">
        <v>81.099999999999994</v>
      </c>
      <c r="E299" s="5">
        <v>0.78</v>
      </c>
      <c r="F299" s="12">
        <v>0</v>
      </c>
      <c r="G299" s="12">
        <v>1</v>
      </c>
      <c r="H299" s="5">
        <v>400831.65</v>
      </c>
      <c r="I299" s="19">
        <f xml:space="preserve"> 147642.16
+ 1.2034 * B299
+ 33.6227 * C299
+ 2893.1764 * D299
- 2862.4094 * E299
+ 11558.4348 * F299
- 244.4477 * G299</f>
        <v>467354.22838399996</v>
      </c>
      <c r="J299" s="12">
        <f>H299-I299</f>
        <v>-66522.578383999935</v>
      </c>
      <c r="K299" s="12" t="str">
        <f xml:space="preserve"> IF(J299&gt;0, "Positive", "Negative")</f>
        <v>Negative</v>
      </c>
    </row>
    <row r="300" spans="1:11">
      <c r="A300" s="3" t="s">
        <v>14</v>
      </c>
      <c r="B300" s="5">
        <v>59921.75</v>
      </c>
      <c r="C300" s="5">
        <v>9113</v>
      </c>
      <c r="D300" s="5">
        <v>88</v>
      </c>
      <c r="E300" s="5">
        <v>12</v>
      </c>
      <c r="F300" s="12">
        <v>0</v>
      </c>
      <c r="G300" s="12">
        <v>0</v>
      </c>
      <c r="H300" s="5">
        <v>678722.06</v>
      </c>
      <c r="I300" s="19">
        <f xml:space="preserve"> 147642.16
+ 1.2034 * B300
+ 33.6227 * C300
+ 2893.1764 * D300
- 2862.4094 * E300
+ 11558.4348 * F300
- 244.4477 * G300</f>
        <v>746406.26945000002</v>
      </c>
      <c r="J300" s="12">
        <f>H300-I300</f>
        <v>-67684.209449999966</v>
      </c>
      <c r="K300" s="12" t="str">
        <f xml:space="preserve"> IF(J300&gt;0, "Positive", "Negative")</f>
        <v>Negative</v>
      </c>
    </row>
    <row r="301" spans="1:11">
      <c r="A301" s="3" t="s">
        <v>22</v>
      </c>
      <c r="B301" s="5">
        <v>55716.82</v>
      </c>
      <c r="C301" s="5">
        <v>10054</v>
      </c>
      <c r="D301" s="5">
        <v>84.9</v>
      </c>
      <c r="E301" s="5">
        <v>1.06</v>
      </c>
      <c r="F301" s="12">
        <v>0</v>
      </c>
      <c r="G301" s="12">
        <v>0</v>
      </c>
      <c r="H301" s="5">
        <v>726606.28</v>
      </c>
      <c r="I301" s="19">
        <f xml:space="preserve"> 147642.16
+ 1.2034 * B301
+ 33.6227 * C301
+ 2893.1764 * D301
- 2862.4094 * E301
+ 11558.4348 * F301
- 244.4477 * G301</f>
        <v>795330.92938400002</v>
      </c>
      <c r="J301" s="12">
        <f>H301-I301</f>
        <v>-68724.649383999989</v>
      </c>
      <c r="K301" s="12" t="str">
        <f xml:space="preserve"> IF(J301&gt;0, "Positive", "Negative")</f>
        <v>Negative</v>
      </c>
    </row>
    <row r="302" spans="1:11">
      <c r="A302" s="3" t="s">
        <v>79</v>
      </c>
      <c r="B302" s="5">
        <v>37324.230000000003</v>
      </c>
      <c r="C302" s="5">
        <v>5957</v>
      </c>
      <c r="D302" s="5">
        <v>85.9</v>
      </c>
      <c r="E302" s="5">
        <v>0.37</v>
      </c>
      <c r="F302" s="12">
        <v>0</v>
      </c>
      <c r="G302" s="12">
        <v>1</v>
      </c>
      <c r="H302" s="5">
        <v>570963.31000000006</v>
      </c>
      <c r="I302" s="19">
        <f xml:space="preserve"> 147642.16
+ 1.2034 * B302
+ 33.6227 * C302
+ 2893.1764 * D302
- 2862.4094 * E302
+ 11558.4348 * F302
- 244.4477 * G302</f>
        <v>640068.87586399994</v>
      </c>
      <c r="J302" s="12">
        <f>H302-I302</f>
        <v>-69105.565863999887</v>
      </c>
      <c r="K302" s="12" t="str">
        <f xml:space="preserve"> IF(J302&gt;0, "Positive", "Negative")</f>
        <v>Negative</v>
      </c>
    </row>
    <row r="303" spans="1:11">
      <c r="A303" s="3" t="s">
        <v>98</v>
      </c>
      <c r="B303" s="5">
        <v>60684.05</v>
      </c>
      <c r="C303" s="5">
        <v>6399</v>
      </c>
      <c r="D303" s="5">
        <v>99</v>
      </c>
      <c r="E303" s="5">
        <v>3.82</v>
      </c>
      <c r="F303" s="12">
        <v>1</v>
      </c>
      <c r="G303" s="12">
        <v>0</v>
      </c>
      <c r="H303" s="5">
        <v>651164.18000000005</v>
      </c>
      <c r="I303" s="19">
        <f xml:space="preserve"> 147642.16
+ 1.2034 * B303
+ 33.6227 * C303
+ 2893.1764 * D303
- 2862.4094 * E303
+ 11558.4348 * F303
- 244.4477 * G303</f>
        <v>722869.49756200006</v>
      </c>
      <c r="J303" s="12">
        <f>H303-I303</f>
        <v>-71705.317562000011</v>
      </c>
      <c r="K303" s="12" t="str">
        <f xml:space="preserve"> IF(J303&gt;0, "Positive", "Negative")</f>
        <v>Negative</v>
      </c>
    </row>
    <row r="304" spans="1:11">
      <c r="A304" s="3" t="s">
        <v>30</v>
      </c>
      <c r="B304" s="5">
        <v>73771.91</v>
      </c>
      <c r="C304" s="5">
        <v>11695</v>
      </c>
      <c r="D304" s="5">
        <v>84.7</v>
      </c>
      <c r="E304" s="5">
        <v>0.62</v>
      </c>
      <c r="F304" s="12">
        <v>0</v>
      </c>
      <c r="G304" s="12">
        <v>0</v>
      </c>
      <c r="H304" s="5">
        <v>799477.76000000001</v>
      </c>
      <c r="I304" s="19">
        <f xml:space="preserve"> 147642.16
+ 1.2034 * B304
+ 33.6227 * C304
+ 2893.1764 * D304
- 2862.4094 * E304
+ 11558.4348 * F304
- 244.4477 * G304</f>
        <v>872914.10024599999</v>
      </c>
      <c r="J304" s="12">
        <f>H304-I304</f>
        <v>-73436.340245999978</v>
      </c>
      <c r="K304" s="12" t="str">
        <f xml:space="preserve"> IF(J304&gt;0, "Positive", "Negative")</f>
        <v>Negative</v>
      </c>
    </row>
    <row r="305" spans="1:11">
      <c r="A305" s="3" t="s">
        <v>101</v>
      </c>
      <c r="B305" s="5">
        <v>76614.320000000007</v>
      </c>
      <c r="C305" s="5">
        <v>5639</v>
      </c>
      <c r="D305" s="5">
        <v>92.9</v>
      </c>
      <c r="E305" s="5">
        <v>1.02</v>
      </c>
      <c r="F305" s="12">
        <v>0</v>
      </c>
      <c r="G305" s="12">
        <v>0</v>
      </c>
      <c r="H305" s="5">
        <v>620264.19999999995</v>
      </c>
      <c r="I305" s="19">
        <f xml:space="preserve"> 147642.16
+ 1.2034 * B305
+ 33.6227 * C305
+ 2893.1764 * D305
- 2862.4094 * E305
+ 11558.4348 * F305
- 244.4477 * G305</f>
        <v>695294.66796000011</v>
      </c>
      <c r="J305" s="12">
        <f>H305-I305</f>
        <v>-75030.467960000155</v>
      </c>
      <c r="K305" s="12" t="str">
        <f xml:space="preserve"> IF(J305&gt;0, "Positive", "Negative")</f>
        <v>Negative</v>
      </c>
    </row>
    <row r="306" spans="1:11">
      <c r="A306" s="3" t="s">
        <v>98</v>
      </c>
      <c r="B306" s="5">
        <v>46146.239999999998</v>
      </c>
      <c r="C306" s="5">
        <v>5804</v>
      </c>
      <c r="D306" s="5">
        <v>86.9</v>
      </c>
      <c r="E306" s="5">
        <v>15.82</v>
      </c>
      <c r="F306" s="12">
        <v>1</v>
      </c>
      <c r="G306" s="12">
        <v>0</v>
      </c>
      <c r="H306" s="5">
        <v>538376</v>
      </c>
      <c r="I306" s="19">
        <f xml:space="preserve"> 147642.16
+ 1.2034 * B306
+ 33.6227 * C306
+ 2893.1764 * D306
- 2862.4094 * E306
+ 11558.4348 * F306
- 244.4477 * G306</f>
        <v>616012.84326800006</v>
      </c>
      <c r="J306" s="12">
        <f>H306-I306</f>
        <v>-77636.843268000055</v>
      </c>
      <c r="K306" s="12" t="str">
        <f xml:space="preserve"> IF(J306&gt;0, "Positive", "Negative")</f>
        <v>Negative</v>
      </c>
    </row>
    <row r="307" spans="1:11">
      <c r="A307" s="3" t="s">
        <v>74</v>
      </c>
      <c r="B307" s="5">
        <v>62949.7</v>
      </c>
      <c r="C307" s="5">
        <v>9458</v>
      </c>
      <c r="D307" s="5">
        <v>84.9</v>
      </c>
      <c r="E307" s="5">
        <v>5.09</v>
      </c>
      <c r="F307" s="12">
        <v>0</v>
      </c>
      <c r="G307" s="12">
        <v>1</v>
      </c>
      <c r="H307" s="5">
        <v>691288.19</v>
      </c>
      <c r="I307" s="19">
        <f xml:space="preserve"> 147642.16
+ 1.2034 * B307
+ 33.6227 * C307
+ 2893.1764 * D307
- 2862.4094 * E307
+ 11558.4348 * F307
- 244.4477 * G307</f>
        <v>772215.89039399999</v>
      </c>
      <c r="J307" s="12">
        <f>H307-I307</f>
        <v>-80927.700394000043</v>
      </c>
      <c r="K307" s="12" t="str">
        <f xml:space="preserve"> IF(J307&gt;0, "Positive", "Negative")</f>
        <v>Negative</v>
      </c>
    </row>
    <row r="308" spans="1:11">
      <c r="A308" s="3" t="s">
        <v>64</v>
      </c>
      <c r="B308" s="5">
        <v>32834.480000000003</v>
      </c>
      <c r="C308" s="5">
        <v>7576</v>
      </c>
      <c r="D308" s="5">
        <v>84.1</v>
      </c>
      <c r="E308" s="5">
        <v>3.48</v>
      </c>
      <c r="F308" s="12">
        <v>0</v>
      </c>
      <c r="G308" s="12">
        <v>0</v>
      </c>
      <c r="H308" s="5">
        <v>593637.14</v>
      </c>
      <c r="I308" s="19">
        <f xml:space="preserve"> 147642.16
+ 1.2034 * B308
+ 33.6227 * C308
+ 2893.1764 * D308
- 2862.4094 * E308
+ 11558.4348 * F308
- 244.4477 * G308</f>
        <v>675235.69896000007</v>
      </c>
      <c r="J308" s="12">
        <f>H308-I308</f>
        <v>-81598.558960000053</v>
      </c>
      <c r="K308" s="12" t="str">
        <f xml:space="preserve"> IF(J308&gt;0, "Positive", "Negative")</f>
        <v>Negative</v>
      </c>
    </row>
    <row r="309" spans="1:11">
      <c r="A309" s="3" t="s">
        <v>73</v>
      </c>
      <c r="B309" s="5">
        <v>56413.83</v>
      </c>
      <c r="C309" s="5">
        <v>8303</v>
      </c>
      <c r="D309" s="5">
        <v>93.6</v>
      </c>
      <c r="E309" s="5">
        <v>2.7</v>
      </c>
      <c r="F309" s="12">
        <v>0</v>
      </c>
      <c r="G309" s="12">
        <v>0</v>
      </c>
      <c r="H309" s="5">
        <v>675917.63</v>
      </c>
      <c r="I309" s="19">
        <f xml:space="preserve"> 147642.16
+ 1.2034 * B309
+ 33.6227 * C309
+ 2893.1764 * D309
- 2862.4094 * E309
+ 11558.4348 * F309
- 244.4477 * G309</f>
        <v>757772.64678199997</v>
      </c>
      <c r="J309" s="12">
        <f>H309-I309</f>
        <v>-81855.016781999962</v>
      </c>
      <c r="K309" s="12" t="str">
        <f xml:space="preserve"> IF(J309&gt;0, "Positive", "Negative")</f>
        <v>Negative</v>
      </c>
    </row>
    <row r="310" spans="1:11">
      <c r="A310" s="3" t="s">
        <v>14</v>
      </c>
      <c r="B310" s="5">
        <v>43827.89</v>
      </c>
      <c r="C310" s="5">
        <v>8487</v>
      </c>
      <c r="D310" s="5">
        <v>84.4</v>
      </c>
      <c r="E310" s="5">
        <v>4.3099999999999996</v>
      </c>
      <c r="F310" s="12">
        <v>0</v>
      </c>
      <c r="G310" s="12">
        <v>0</v>
      </c>
      <c r="H310" s="5">
        <v>634436</v>
      </c>
      <c r="I310" s="19">
        <f xml:space="preserve"> 147642.16
+ 1.2034 * B310
+ 33.6227 * C310
+ 2893.1764 * D310
- 2862.4094 * E310
+ 11558.4348 * F310
- 244.4477 * G310</f>
        <v>717587.60137200006</v>
      </c>
      <c r="J310" s="12">
        <f>H310-I310</f>
        <v>-83151.601372000063</v>
      </c>
      <c r="K310" s="12" t="str">
        <f xml:space="preserve"> IF(J310&gt;0, "Positive", "Negative")</f>
        <v>Negative</v>
      </c>
    </row>
    <row r="311" spans="1:11">
      <c r="A311" s="3" t="s">
        <v>26</v>
      </c>
      <c r="B311" s="5">
        <v>172415.52</v>
      </c>
      <c r="C311" s="5">
        <v>8927</v>
      </c>
      <c r="D311" s="5">
        <v>86.2</v>
      </c>
      <c r="E311" s="5">
        <v>7.04</v>
      </c>
      <c r="F311" s="12">
        <v>0</v>
      </c>
      <c r="G311" s="12">
        <v>0</v>
      </c>
      <c r="H311" s="5">
        <v>800451.94</v>
      </c>
      <c r="I311" s="19">
        <f xml:space="preserve"> 147642.16
+ 1.2034 * B311
+ 33.6227 * C311
+ 2893.1764 * D311
- 2862.4094 * E311
+ 11558.4348 * F311
- 244.4477 * G311</f>
        <v>884517.28317199985</v>
      </c>
      <c r="J311" s="12">
        <f>H311-I311</f>
        <v>-84065.343171999906</v>
      </c>
      <c r="K311" s="12" t="str">
        <f xml:space="preserve"> IF(J311&gt;0, "Positive", "Negative")</f>
        <v>Negative</v>
      </c>
    </row>
    <row r="312" spans="1:11">
      <c r="A312" s="3" t="s">
        <v>25</v>
      </c>
      <c r="B312" s="5">
        <v>30356.28</v>
      </c>
      <c r="C312" s="5">
        <v>2822</v>
      </c>
      <c r="D312" s="5">
        <v>84.8</v>
      </c>
      <c r="E312" s="5">
        <v>6.95</v>
      </c>
      <c r="F312" s="12">
        <v>0</v>
      </c>
      <c r="G312" s="12">
        <v>0</v>
      </c>
      <c r="H312" s="5">
        <v>415721.82</v>
      </c>
      <c r="I312" s="19">
        <f xml:space="preserve"> 147642.16
+ 1.2034 * B312
+ 33.6227 * C312
+ 2893.1764 * D312
- 2862.4094 * E312
+ 11558.4348 * F312
- 244.4477 * G312</f>
        <v>504503.780142</v>
      </c>
      <c r="J312" s="12">
        <f>H312-I312</f>
        <v>-88781.960141999996</v>
      </c>
      <c r="K312" s="12" t="str">
        <f xml:space="preserve"> IF(J312&gt;0, "Positive", "Negative")</f>
        <v>Negative</v>
      </c>
    </row>
    <row r="313" spans="1:11">
      <c r="A313" s="3" t="s">
        <v>89</v>
      </c>
      <c r="B313" s="5">
        <v>29344.93</v>
      </c>
      <c r="C313" s="5">
        <v>7446</v>
      </c>
      <c r="D313" s="5">
        <v>86.2</v>
      </c>
      <c r="E313" s="5">
        <v>0.2</v>
      </c>
      <c r="F313" s="12">
        <v>0</v>
      </c>
      <c r="G313" s="12">
        <v>0</v>
      </c>
      <c r="H313" s="5">
        <v>593343</v>
      </c>
      <c r="I313" s="19">
        <f xml:space="preserve"> 147642.16
+ 1.2034 * B313
+ 33.6227 * C313
+ 2893.1764 * D313
- 2862.4094 * E313
+ 11558.4348 * F313
- 244.4477 * G313</f>
        <v>682129.79676200007</v>
      </c>
      <c r="J313" s="12">
        <f>H313-I313</f>
        <v>-88786.796762000071</v>
      </c>
      <c r="K313" s="12" t="str">
        <f xml:space="preserve"> IF(J313&gt;0, "Positive", "Negative")</f>
        <v>Negative</v>
      </c>
    </row>
    <row r="314" spans="1:11">
      <c r="A314" s="3" t="s">
        <v>89</v>
      </c>
      <c r="B314" s="5">
        <v>48752.92</v>
      </c>
      <c r="C314" s="5">
        <v>8052</v>
      </c>
      <c r="D314" s="5">
        <v>94.9</v>
      </c>
      <c r="E314" s="5">
        <v>0.65</v>
      </c>
      <c r="F314" s="12">
        <v>0</v>
      </c>
      <c r="G314" s="12">
        <v>0</v>
      </c>
      <c r="H314" s="5">
        <v>660633.99</v>
      </c>
      <c r="I314" s="19">
        <f xml:space="preserve"> 147642.16
+ 1.2034 * B314
+ 33.6227 * C314
+ 2893.1764 * D314
- 2862.4094 * E314
+ 11558.4348 * F314
- 244.4477 * G314</f>
        <v>749743.27857800003</v>
      </c>
      <c r="J314" s="12">
        <f>H314-I314</f>
        <v>-89109.288578000036</v>
      </c>
      <c r="K314" s="12" t="str">
        <f xml:space="preserve"> IF(J314&gt;0, "Positive", "Negative")</f>
        <v>Negative</v>
      </c>
    </row>
    <row r="315" spans="1:11">
      <c r="A315" s="3" t="s">
        <v>56</v>
      </c>
      <c r="B315" s="5">
        <v>71320.66</v>
      </c>
      <c r="C315" s="5">
        <v>7888</v>
      </c>
      <c r="D315" s="5">
        <v>78.099999999999994</v>
      </c>
      <c r="E315" s="5">
        <v>3.4</v>
      </c>
      <c r="F315" s="12">
        <v>1</v>
      </c>
      <c r="G315" s="12">
        <v>0</v>
      </c>
      <c r="H315" s="5">
        <v>633638.03</v>
      </c>
      <c r="I315" s="19">
        <f xml:space="preserve"> 147642.16
+ 1.2034 * B315
+ 33.6227 * C315
+ 2893.1764 * D315
- 2862.4094 * E315
+ 11558.4348 * F315
- 244.4477 * G315</f>
        <v>726468.6195240001</v>
      </c>
      <c r="J315" s="12">
        <f>H315-I315</f>
        <v>-92830.589524000068</v>
      </c>
      <c r="K315" s="12" t="str">
        <f xml:space="preserve"> IF(J315&gt;0, "Positive", "Negative")</f>
        <v>Negative</v>
      </c>
    </row>
    <row r="316" spans="1:11">
      <c r="A316" s="3" t="s">
        <v>30</v>
      </c>
      <c r="B316" s="5">
        <v>54597.83</v>
      </c>
      <c r="C316" s="5">
        <v>9429</v>
      </c>
      <c r="D316" s="5">
        <v>83.3</v>
      </c>
      <c r="E316" s="5">
        <v>11.71</v>
      </c>
      <c r="F316" s="12">
        <v>0</v>
      </c>
      <c r="G316" s="12">
        <v>0</v>
      </c>
      <c r="H316" s="5">
        <v>641865.03</v>
      </c>
      <c r="I316" s="19">
        <f xml:space="preserve"> 147642.16
+ 1.2034 * B316
+ 33.6227 * C316
+ 2893.1764 * D316
- 2862.4094 * E316
+ 11558.4348 * F316
- 244.4477 * G316</f>
        <v>737856.406968</v>
      </c>
      <c r="J316" s="12">
        <f>H316-I316</f>
        <v>-95991.376967999968</v>
      </c>
      <c r="K316" s="12" t="str">
        <f xml:space="preserve"> IF(J316&gt;0, "Positive", "Negative")</f>
        <v>Negative</v>
      </c>
    </row>
    <row r="317" spans="1:11">
      <c r="A317" s="3" t="s">
        <v>29</v>
      </c>
      <c r="B317" s="5">
        <v>68600.62</v>
      </c>
      <c r="C317" s="5">
        <v>3988</v>
      </c>
      <c r="D317" s="5">
        <v>85</v>
      </c>
      <c r="E317" s="5">
        <v>0.48</v>
      </c>
      <c r="F317" s="12">
        <v>0</v>
      </c>
      <c r="G317" s="12">
        <v>0</v>
      </c>
      <c r="H317" s="5">
        <v>511844.41</v>
      </c>
      <c r="I317" s="19">
        <f xml:space="preserve"> 147642.16
+ 1.2034 * B317
+ 33.6227 * C317
+ 2893.1764 * D317
- 2862.4094 * E317
+ 11558.4348 * F317
- 244.4477 * G317</f>
        <v>608829.51119600004</v>
      </c>
      <c r="J317" s="12">
        <f>H317-I317</f>
        <v>-96985.101196000061</v>
      </c>
      <c r="K317" s="12" t="str">
        <f xml:space="preserve"> IF(J317&gt;0, "Positive", "Negative")</f>
        <v>Negative</v>
      </c>
    </row>
    <row r="318" spans="1:11">
      <c r="A318" s="3" t="s">
        <v>14</v>
      </c>
      <c r="B318" s="5">
        <v>56856.63</v>
      </c>
      <c r="C318" s="5">
        <v>9431</v>
      </c>
      <c r="D318" s="5">
        <v>86.9</v>
      </c>
      <c r="E318" s="5">
        <v>4.97</v>
      </c>
      <c r="F318" s="12">
        <v>0</v>
      </c>
      <c r="G318" s="12">
        <v>0</v>
      </c>
      <c r="H318" s="5">
        <v>658920.30000000005</v>
      </c>
      <c r="I318" s="19">
        <f xml:space="preserve"> 147642.16
+ 1.2034 * B318
+ 33.6227 * C318
+ 2893.1764 * D318
- 2862.4094 * E318
+ 11558.4348 * F318
- 244.4477 * G318</f>
        <v>770349.96668399998</v>
      </c>
      <c r="J318" s="12">
        <f>H318-I318</f>
        <v>-111429.66668399994</v>
      </c>
      <c r="K318" s="12" t="str">
        <f xml:space="preserve"> IF(J318&gt;0, "Positive", "Negative")</f>
        <v>Negative</v>
      </c>
    </row>
    <row r="319" spans="1:11">
      <c r="A319" s="3" t="s">
        <v>38</v>
      </c>
      <c r="B319" s="5">
        <v>79346.100000000006</v>
      </c>
      <c r="C319" s="5">
        <v>9628</v>
      </c>
      <c r="D319" s="5">
        <v>99</v>
      </c>
      <c r="E319" s="5">
        <v>19.010000000000002</v>
      </c>
      <c r="F319" s="12">
        <v>0</v>
      </c>
      <c r="G319" s="12">
        <v>1</v>
      </c>
      <c r="H319" s="5">
        <v>685379.08</v>
      </c>
      <c r="I319" s="19">
        <f xml:space="preserve"> 147642.16
+ 1.2034 * B319
+ 33.6227 * C319
+ 2893.1764 * D319
- 2862.4094 * E319
+ 11558.4348 * F319
- 244.4477 * G319</f>
        <v>798612.22554599983</v>
      </c>
      <c r="J319" s="12">
        <f>H319-I319</f>
        <v>-113233.14554599987</v>
      </c>
      <c r="K319" s="12" t="str">
        <f xml:space="preserve"> IF(J319&gt;0, "Positive", "Negative")</f>
        <v>Negative</v>
      </c>
    </row>
    <row r="320" spans="1:11">
      <c r="A320" s="3" t="s">
        <v>33</v>
      </c>
      <c r="B320" s="5">
        <v>138855.51</v>
      </c>
      <c r="C320" s="5">
        <v>5145</v>
      </c>
      <c r="D320" s="5">
        <v>88.2</v>
      </c>
      <c r="E320" s="5">
        <v>9.58</v>
      </c>
      <c r="F320" s="12">
        <v>0</v>
      </c>
      <c r="G320" s="12">
        <v>0</v>
      </c>
      <c r="H320" s="5">
        <v>595467.6</v>
      </c>
      <c r="I320" s="19">
        <f xml:space="preserve"> 147642.16
+ 1.2034 * B320
+ 33.6227 * C320
+ 2893.1764 * D320
- 2862.4094 * E320
+ 11558.4348 * F320
- 244.4477 * G320</f>
        <v>715485.94866200001</v>
      </c>
      <c r="J320" s="12">
        <f>H320-I320</f>
        <v>-120018.34866200003</v>
      </c>
      <c r="K320" s="12" t="str">
        <f xml:space="preserve"> IF(J320&gt;0, "Positive", "Negative")</f>
        <v>Negative</v>
      </c>
    </row>
    <row r="321" spans="1:11">
      <c r="A321" s="3" t="s">
        <v>44</v>
      </c>
      <c r="B321" s="5">
        <v>141540.29</v>
      </c>
      <c r="C321" s="5">
        <v>5400</v>
      </c>
      <c r="D321" s="5">
        <v>87</v>
      </c>
      <c r="E321" s="5">
        <v>4.26</v>
      </c>
      <c r="F321" s="12">
        <v>1</v>
      </c>
      <c r="G321" s="12">
        <v>0</v>
      </c>
      <c r="H321" s="5">
        <v>627171.9</v>
      </c>
      <c r="I321" s="19">
        <f xml:space="preserve"> 147642.16
+ 1.2034 * B321
+ 33.6227 * C321
+ 2893.1764 * D321
- 2862.4094 * E321
+ 11558.4348 * F321
- 244.4477 * G321</f>
        <v>750605.24254200002</v>
      </c>
      <c r="J321" s="12">
        <f>H321-I321</f>
        <v>-123433.342542</v>
      </c>
      <c r="K321" s="12" t="str">
        <f xml:space="preserve"> IF(J321&gt;0, "Positive", "Negative")</f>
        <v>Negative</v>
      </c>
    </row>
  </sheetData>
  <sortState xmlns:xlrd2="http://schemas.microsoft.com/office/spreadsheetml/2017/richdata2" ref="A2:K321">
    <sortCondition ref="J2:J32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E687-65EC-4CF4-93B1-99C015BB2294}">
  <dimension ref="A1:K15"/>
  <sheetViews>
    <sheetView workbookViewId="0">
      <selection activeCell="E16" sqref="E16"/>
    </sheetView>
  </sheetViews>
  <sheetFormatPr defaultRowHeight="14.4"/>
  <cols>
    <col min="1" max="1" width="10.21875" bestFit="1" customWidth="1"/>
  </cols>
  <sheetData>
    <row r="1" spans="1:11" ht="55.2">
      <c r="A1" s="1" t="s">
        <v>0</v>
      </c>
      <c r="B1" s="1" t="s">
        <v>4</v>
      </c>
      <c r="C1" s="1" t="s">
        <v>5</v>
      </c>
      <c r="D1" s="1" t="s">
        <v>8</v>
      </c>
      <c r="E1" s="1" t="s">
        <v>9</v>
      </c>
      <c r="F1" s="11" t="s">
        <v>122</v>
      </c>
      <c r="G1" s="11" t="s">
        <v>123</v>
      </c>
      <c r="H1" s="1" t="s">
        <v>12</v>
      </c>
      <c r="I1" s="1" t="s">
        <v>156</v>
      </c>
      <c r="J1" s="1" t="s">
        <v>157</v>
      </c>
      <c r="K1" s="1" t="s">
        <v>158</v>
      </c>
    </row>
    <row r="2" spans="1:11">
      <c r="A2" s="3" t="s">
        <v>49</v>
      </c>
      <c r="B2" s="5">
        <v>52758.01</v>
      </c>
      <c r="C2" s="5">
        <v>4063</v>
      </c>
      <c r="D2" s="5">
        <v>91.7</v>
      </c>
      <c r="E2" s="5">
        <v>0.92</v>
      </c>
      <c r="F2" s="12">
        <v>0</v>
      </c>
      <c r="G2" s="12">
        <v>0</v>
      </c>
      <c r="H2" s="5">
        <v>713611.16</v>
      </c>
      <c r="I2" s="19">
        <f xml:space="preserve"> 147642.16
+ 1.2034 * B2
+ 33.6227 * C2
+ 2893.1764 * D2
- 2862.4094 * E2
+ 11558.4348 * F2
- 244.4477 * G2</f>
        <v>610411.03856599994</v>
      </c>
      <c r="J2" s="12">
        <f>H2-I2</f>
        <v>103200.12143400009</v>
      </c>
      <c r="K2" s="12" t="str">
        <f xml:space="preserve"> IF(J2&gt;0, "Positive", "Negative")</f>
        <v>Positive</v>
      </c>
    </row>
    <row r="3" spans="1:11">
      <c r="A3" s="3" t="s">
        <v>79</v>
      </c>
      <c r="B3" s="5">
        <v>113736</v>
      </c>
      <c r="C3" s="5">
        <v>8961</v>
      </c>
      <c r="D3" s="5">
        <v>86.2</v>
      </c>
      <c r="E3" s="5">
        <v>21.63</v>
      </c>
      <c r="F3" s="12">
        <v>0</v>
      </c>
      <c r="G3" s="12">
        <v>1</v>
      </c>
      <c r="H3" s="5">
        <v>870937.4</v>
      </c>
      <c r="I3" s="19">
        <f xml:space="preserve"> 147642.16
+ 1.2034 * B3
+ 33.6227 * C3
+ 2893.1764 * D3
- 2862.4094 * E3
+ 11558.4348 * F3
- 244.4477 * G3</f>
        <v>773038.51975799992</v>
      </c>
      <c r="J3" s="12">
        <f>H3-I3</f>
        <v>97898.880242000101</v>
      </c>
      <c r="K3" s="12" t="str">
        <f xml:space="preserve"> IF(J3&gt;0, "Positive", "Negative")</f>
        <v>Positive</v>
      </c>
    </row>
    <row r="4" spans="1:11">
      <c r="A4" s="3" t="s">
        <v>72</v>
      </c>
      <c r="B4" s="5">
        <v>78111.97</v>
      </c>
      <c r="C4" s="5">
        <v>6389</v>
      </c>
      <c r="D4" s="5">
        <v>83.9</v>
      </c>
      <c r="E4" s="5">
        <v>3.05</v>
      </c>
      <c r="F4" s="12">
        <v>0</v>
      </c>
      <c r="G4" s="12">
        <v>0</v>
      </c>
      <c r="H4" s="5">
        <v>787715.51</v>
      </c>
      <c r="I4" s="19">
        <f xml:space="preserve"> 147642.16
+ 1.2034 * B4
+ 33.6227 * C4
+ 2893.1764 * D4
- 2862.4094 * E4
+ 11558.4348 * F4
- 244.4477 * G4</f>
        <v>690464.68628800008</v>
      </c>
      <c r="J4" s="12">
        <f>H4-I4</f>
        <v>97250.823711999925</v>
      </c>
      <c r="K4" s="12" t="str">
        <f xml:space="preserve"> IF(J4&gt;0, "Positive", "Negative")</f>
        <v>Positive</v>
      </c>
    </row>
    <row r="5" spans="1:11">
      <c r="A5" s="3" t="s">
        <v>47</v>
      </c>
      <c r="B5" s="5">
        <v>32266.639999999999</v>
      </c>
      <c r="C5" s="5">
        <v>2414</v>
      </c>
      <c r="D5" s="5">
        <v>92.1</v>
      </c>
      <c r="E5" s="5">
        <v>1.48</v>
      </c>
      <c r="F5" s="12">
        <v>0</v>
      </c>
      <c r="G5" s="12">
        <v>0</v>
      </c>
      <c r="H5" s="5">
        <v>625514.04</v>
      </c>
      <c r="I5" s="19">
        <f xml:space="preserve"> 147642.16
+ 1.2034 * B5
+ 33.6227 * C5
+ 2893.1764 * D5
- 2862.4094 * E5
+ 11558.4348 * F5
- 244.4477 * G5</f>
        <v>529862.21290399996</v>
      </c>
      <c r="J5" s="12">
        <f>H5-I5</f>
        <v>95651.827096000081</v>
      </c>
      <c r="K5" s="12" t="str">
        <f xml:space="preserve"> IF(J5&gt;0, "Positive", "Negative")</f>
        <v>Positive</v>
      </c>
    </row>
    <row r="6" spans="1:11">
      <c r="A6" s="3" t="s">
        <v>66</v>
      </c>
      <c r="B6" s="5">
        <v>29389.32</v>
      </c>
      <c r="C6" s="5">
        <v>7925</v>
      </c>
      <c r="D6" s="5">
        <v>90.9</v>
      </c>
      <c r="E6" s="5">
        <v>7.86</v>
      </c>
      <c r="F6" s="12">
        <v>0</v>
      </c>
      <c r="G6" s="12">
        <v>0</v>
      </c>
      <c r="H6" s="5">
        <v>783582</v>
      </c>
      <c r="I6" s="19">
        <f xml:space="preserve"> 147642.16
+ 1.2034 * B6
+ 33.6227 * C6
+ 2893.1764 * D6
- 2862.4094 * E6
+ 11558.4348 * F6
- 244.4477 * G6</f>
        <v>689960.36206399999</v>
      </c>
      <c r="J6" s="12">
        <f>H6-I6</f>
        <v>93621.637936000014</v>
      </c>
      <c r="K6" s="12" t="str">
        <f xml:space="preserve"> IF(J6&gt;0, "Positive", "Negative")</f>
        <v>Positive</v>
      </c>
    </row>
    <row r="10" spans="1:11" ht="55.2">
      <c r="A10" s="1" t="s">
        <v>0</v>
      </c>
      <c r="B10" s="1" t="s">
        <v>4</v>
      </c>
      <c r="C10" s="1" t="s">
        <v>5</v>
      </c>
      <c r="D10" s="1" t="s">
        <v>8</v>
      </c>
      <c r="E10" s="1" t="s">
        <v>9</v>
      </c>
      <c r="F10" s="11" t="s">
        <v>122</v>
      </c>
      <c r="G10" s="11" t="s">
        <v>123</v>
      </c>
      <c r="H10" s="1" t="s">
        <v>12</v>
      </c>
      <c r="I10" s="1" t="s">
        <v>156</v>
      </c>
      <c r="J10" s="1" t="s">
        <v>157</v>
      </c>
      <c r="K10" s="1" t="s">
        <v>158</v>
      </c>
    </row>
    <row r="11" spans="1:11">
      <c r="A11" s="3" t="s">
        <v>44</v>
      </c>
      <c r="B11" s="5">
        <v>141540.29</v>
      </c>
      <c r="C11" s="5">
        <v>5400</v>
      </c>
      <c r="D11" s="5">
        <v>87</v>
      </c>
      <c r="E11" s="5">
        <v>4.26</v>
      </c>
      <c r="F11" s="12">
        <v>1</v>
      </c>
      <c r="G11" s="12">
        <v>0</v>
      </c>
      <c r="H11" s="5">
        <v>627171.9</v>
      </c>
      <c r="I11" s="19">
        <f xml:space="preserve"> 147642.16
+ 1.2034 * B11
+ 33.6227 * C11
+ 2893.1764 * D11
- 2862.4094 * E11
+ 11558.4348 * F11
- 244.4477 * G11</f>
        <v>750605.24254200002</v>
      </c>
      <c r="J11" s="12">
        <f>H11-I11</f>
        <v>-123433.342542</v>
      </c>
      <c r="K11" s="12" t="str">
        <f xml:space="preserve"> IF(J11&gt;0, "Positive", "Negative")</f>
        <v>Negative</v>
      </c>
    </row>
    <row r="12" spans="1:11">
      <c r="A12" s="3" t="s">
        <v>33</v>
      </c>
      <c r="B12" s="5">
        <v>138855.51</v>
      </c>
      <c r="C12" s="5">
        <v>5145</v>
      </c>
      <c r="D12" s="5">
        <v>88.2</v>
      </c>
      <c r="E12" s="5">
        <v>9.58</v>
      </c>
      <c r="F12" s="12">
        <v>0</v>
      </c>
      <c r="G12" s="12">
        <v>0</v>
      </c>
      <c r="H12" s="5">
        <v>595467.6</v>
      </c>
      <c r="I12" s="19">
        <f xml:space="preserve"> 147642.16
+ 1.2034 * B12
+ 33.6227 * C12
+ 2893.1764 * D12
- 2862.4094 * E12
+ 11558.4348 * F12
- 244.4477 * G12</f>
        <v>715485.94866200001</v>
      </c>
      <c r="J12" s="12">
        <f>H12-I12</f>
        <v>-120018.34866200003</v>
      </c>
      <c r="K12" s="12" t="str">
        <f xml:space="preserve"> IF(J12&gt;0, "Positive", "Negative")</f>
        <v>Negative</v>
      </c>
    </row>
    <row r="13" spans="1:11">
      <c r="A13" s="3" t="s">
        <v>38</v>
      </c>
      <c r="B13" s="5">
        <v>79346.100000000006</v>
      </c>
      <c r="C13" s="5">
        <v>9628</v>
      </c>
      <c r="D13" s="5">
        <v>99</v>
      </c>
      <c r="E13" s="5">
        <v>19.010000000000002</v>
      </c>
      <c r="F13" s="12">
        <v>0</v>
      </c>
      <c r="G13" s="12">
        <v>1</v>
      </c>
      <c r="H13" s="5">
        <v>685379.08</v>
      </c>
      <c r="I13" s="19">
        <f xml:space="preserve"> 147642.16
+ 1.2034 * B13
+ 33.6227 * C13
+ 2893.1764 * D13
- 2862.4094 * E13
+ 11558.4348 * F13
- 244.4477 * G13</f>
        <v>798612.22554599983</v>
      </c>
      <c r="J13" s="12">
        <f>H13-I13</f>
        <v>-113233.14554599987</v>
      </c>
      <c r="K13" s="12" t="str">
        <f xml:space="preserve"> IF(J13&gt;0, "Positive", "Negative")</f>
        <v>Negative</v>
      </c>
    </row>
    <row r="14" spans="1:11">
      <c r="A14" s="3" t="s">
        <v>14</v>
      </c>
      <c r="B14" s="5">
        <v>56856.63</v>
      </c>
      <c r="C14" s="5">
        <v>9431</v>
      </c>
      <c r="D14" s="5">
        <v>86.9</v>
      </c>
      <c r="E14" s="5">
        <v>4.97</v>
      </c>
      <c r="F14" s="12">
        <v>0</v>
      </c>
      <c r="G14" s="12">
        <v>0</v>
      </c>
      <c r="H14" s="5">
        <v>658920.30000000005</v>
      </c>
      <c r="I14" s="19">
        <f xml:space="preserve"> 147642.16
+ 1.2034 * B14
+ 33.6227 * C14
+ 2893.1764 * D14
- 2862.4094 * E14
+ 11558.4348 * F14
- 244.4477 * G14</f>
        <v>770349.96668399998</v>
      </c>
      <c r="J14" s="12">
        <f>H14-I14</f>
        <v>-111429.66668399994</v>
      </c>
      <c r="K14" s="12" t="str">
        <f xml:space="preserve"> IF(J14&gt;0, "Positive", "Negative")</f>
        <v>Negative</v>
      </c>
    </row>
    <row r="15" spans="1:11">
      <c r="A15" s="3" t="s">
        <v>29</v>
      </c>
      <c r="B15" s="5">
        <v>68600.62</v>
      </c>
      <c r="C15" s="5">
        <v>3988</v>
      </c>
      <c r="D15" s="5">
        <v>85</v>
      </c>
      <c r="E15" s="5">
        <v>0.48</v>
      </c>
      <c r="F15" s="12">
        <v>0</v>
      </c>
      <c r="G15" s="12">
        <v>0</v>
      </c>
      <c r="H15" s="5">
        <v>511844.41</v>
      </c>
      <c r="I15" s="19">
        <f xml:space="preserve"> 147642.16
+ 1.2034 * B15
+ 33.6227 * C15
+ 2893.1764 * D15
- 2862.4094 * E15
+ 11558.4348 * F15
- 244.4477 * G15</f>
        <v>608829.51119600004</v>
      </c>
      <c r="J15" s="12">
        <f>H15-I15</f>
        <v>-96985.101196000061</v>
      </c>
      <c r="K15" s="12" t="str">
        <f xml:space="preserve"> IF(J15&gt;0, "Positive", "Negative")</f>
        <v>Negative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D249-8E61-4FBC-BA0E-2F39C6C7E23C}">
  <dimension ref="A1:N321"/>
  <sheetViews>
    <sheetView workbookViewId="0">
      <selection activeCell="G31" sqref="G31"/>
    </sheetView>
  </sheetViews>
  <sheetFormatPr defaultRowHeight="13.8"/>
  <cols>
    <col min="1" max="1" width="17.77734375" style="3" customWidth="1"/>
    <col min="2" max="14" width="17.77734375" style="5" customWidth="1"/>
    <col min="15" max="16384" width="8.88671875" style="3"/>
  </cols>
  <sheetData>
    <row r="1" spans="1:14" ht="31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 spans="1:14">
      <c r="A2" s="3" t="s">
        <v>14</v>
      </c>
      <c r="B2" s="4">
        <v>45658</v>
      </c>
      <c r="C2" s="5" t="s">
        <v>15</v>
      </c>
      <c r="D2" s="5" t="s">
        <v>16</v>
      </c>
      <c r="E2" s="5">
        <v>70389.11</v>
      </c>
      <c r="F2" s="5">
        <v>8302</v>
      </c>
      <c r="G2" s="5">
        <v>4.2000000000000003E-2</v>
      </c>
      <c r="H2" s="5">
        <v>17</v>
      </c>
      <c r="I2" s="5">
        <v>75</v>
      </c>
      <c r="J2" s="5">
        <v>5.28</v>
      </c>
      <c r="K2" s="5">
        <v>1</v>
      </c>
      <c r="L2" s="5">
        <v>3.1</v>
      </c>
      <c r="M2" s="5">
        <v>658832.62</v>
      </c>
      <c r="N2" s="5">
        <v>84349.93</v>
      </c>
    </row>
    <row r="3" spans="1:14">
      <c r="A3" s="3" t="s">
        <v>14</v>
      </c>
      <c r="B3" s="4">
        <v>45689</v>
      </c>
      <c r="C3" s="5" t="s">
        <v>15</v>
      </c>
      <c r="D3" s="5" t="s">
        <v>16</v>
      </c>
      <c r="E3" s="5">
        <v>43827.89</v>
      </c>
      <c r="F3" s="5">
        <v>8487</v>
      </c>
      <c r="G3" s="5">
        <v>0.16800000000000001</v>
      </c>
      <c r="H3" s="5">
        <v>23</v>
      </c>
      <c r="I3" s="5">
        <v>84.4</v>
      </c>
      <c r="J3" s="5">
        <v>4.3099999999999996</v>
      </c>
      <c r="K3" s="5">
        <v>0</v>
      </c>
      <c r="L3" s="5">
        <v>2.8</v>
      </c>
      <c r="M3" s="5">
        <v>634436</v>
      </c>
      <c r="N3" s="5">
        <v>106130.54</v>
      </c>
    </row>
    <row r="4" spans="1:14">
      <c r="A4" s="3" t="s">
        <v>14</v>
      </c>
      <c r="B4" s="4">
        <v>45717</v>
      </c>
      <c r="C4" s="5" t="s">
        <v>15</v>
      </c>
      <c r="D4" s="5" t="s">
        <v>16</v>
      </c>
      <c r="E4" s="5">
        <v>59921.75</v>
      </c>
      <c r="F4" s="5">
        <v>9113</v>
      </c>
      <c r="G4" s="5">
        <v>0.13300000000000001</v>
      </c>
      <c r="H4" s="5">
        <v>20</v>
      </c>
      <c r="I4" s="5">
        <v>88</v>
      </c>
      <c r="J4" s="5">
        <v>12</v>
      </c>
      <c r="K4" s="5">
        <v>0</v>
      </c>
      <c r="L4" s="5">
        <v>3.2</v>
      </c>
      <c r="M4" s="5">
        <v>678722.06</v>
      </c>
      <c r="N4" s="5">
        <v>101883.86</v>
      </c>
    </row>
    <row r="5" spans="1:14">
      <c r="A5" s="3" t="s">
        <v>14</v>
      </c>
      <c r="B5" s="4">
        <v>45748</v>
      </c>
      <c r="C5" s="5" t="s">
        <v>15</v>
      </c>
      <c r="D5" s="5" t="s">
        <v>16</v>
      </c>
      <c r="E5" s="5">
        <v>56856.63</v>
      </c>
      <c r="F5" s="5">
        <v>9431</v>
      </c>
      <c r="G5" s="5">
        <v>0.14199999999999999</v>
      </c>
      <c r="H5" s="5">
        <v>23</v>
      </c>
      <c r="I5" s="5">
        <v>86.9</v>
      </c>
      <c r="J5" s="5">
        <v>4.97</v>
      </c>
      <c r="K5" s="5">
        <v>0</v>
      </c>
      <c r="L5" s="5">
        <v>3.4</v>
      </c>
      <c r="M5" s="5">
        <v>658920.30000000005</v>
      </c>
      <c r="N5" s="5">
        <v>97910.37</v>
      </c>
    </row>
    <row r="6" spans="1:14">
      <c r="A6" s="3" t="s">
        <v>17</v>
      </c>
      <c r="B6" s="4">
        <v>45658</v>
      </c>
      <c r="C6" s="5" t="s">
        <v>15</v>
      </c>
      <c r="D6" s="5" t="s">
        <v>18</v>
      </c>
      <c r="E6" s="5">
        <v>48412.639999999999</v>
      </c>
      <c r="F6" s="5">
        <v>9545</v>
      </c>
      <c r="G6" s="5">
        <v>0.23100000000000001</v>
      </c>
      <c r="H6" s="5">
        <v>21</v>
      </c>
      <c r="I6" s="5">
        <v>97.6</v>
      </c>
      <c r="J6" s="5">
        <v>6.94</v>
      </c>
      <c r="K6" s="5">
        <v>1</v>
      </c>
      <c r="L6" s="5">
        <v>4.2</v>
      </c>
      <c r="M6" s="5">
        <v>741341.44</v>
      </c>
      <c r="N6" s="5">
        <v>119208.17</v>
      </c>
    </row>
    <row r="7" spans="1:14">
      <c r="A7" s="3" t="s">
        <v>17</v>
      </c>
      <c r="B7" s="4">
        <v>45689</v>
      </c>
      <c r="C7" s="5" t="s">
        <v>15</v>
      </c>
      <c r="D7" s="5" t="s">
        <v>18</v>
      </c>
      <c r="E7" s="5">
        <v>64811.21</v>
      </c>
      <c r="F7" s="5">
        <v>9792</v>
      </c>
      <c r="G7" s="5">
        <v>0.112</v>
      </c>
      <c r="H7" s="5">
        <v>20</v>
      </c>
      <c r="I7" s="5">
        <v>84.2</v>
      </c>
      <c r="J7" s="5">
        <v>2.88</v>
      </c>
      <c r="K7" s="5">
        <v>0</v>
      </c>
      <c r="L7" s="5">
        <v>4.2</v>
      </c>
      <c r="M7" s="5">
        <v>761835.34</v>
      </c>
      <c r="N7" s="5">
        <v>149602.23000000001</v>
      </c>
    </row>
    <row r="8" spans="1:14">
      <c r="A8" s="3" t="s">
        <v>17</v>
      </c>
      <c r="B8" s="4">
        <v>45717</v>
      </c>
      <c r="C8" s="5" t="s">
        <v>15</v>
      </c>
      <c r="D8" s="5" t="s">
        <v>18</v>
      </c>
      <c r="E8" s="5">
        <v>46213.45</v>
      </c>
      <c r="F8" s="5">
        <v>10616</v>
      </c>
      <c r="G8" s="5">
        <v>0.122</v>
      </c>
      <c r="H8" s="5">
        <v>22</v>
      </c>
      <c r="I8" s="5">
        <v>85.2</v>
      </c>
      <c r="J8" s="5">
        <v>0.2</v>
      </c>
      <c r="K8" s="5">
        <v>1</v>
      </c>
      <c r="L8" s="5">
        <v>4.0999999999999996</v>
      </c>
      <c r="M8" s="5">
        <v>806615.54</v>
      </c>
      <c r="N8" s="5">
        <v>131364.62</v>
      </c>
    </row>
    <row r="9" spans="1:14">
      <c r="A9" s="3" t="s">
        <v>17</v>
      </c>
      <c r="B9" s="4">
        <v>45748</v>
      </c>
      <c r="C9" s="5" t="s">
        <v>15</v>
      </c>
      <c r="D9" s="5" t="s">
        <v>18</v>
      </c>
      <c r="E9" s="5">
        <v>68148.52</v>
      </c>
      <c r="F9" s="5">
        <v>8567</v>
      </c>
      <c r="G9" s="5">
        <v>0.127</v>
      </c>
      <c r="H9" s="5">
        <v>23</v>
      </c>
      <c r="I9" s="5">
        <v>95.6</v>
      </c>
      <c r="J9" s="5">
        <v>0.8</v>
      </c>
      <c r="K9" s="5">
        <v>0</v>
      </c>
      <c r="L9" s="5">
        <v>3.9</v>
      </c>
      <c r="M9" s="5">
        <v>850164.26</v>
      </c>
      <c r="N9" s="5">
        <v>149262.75</v>
      </c>
    </row>
    <row r="10" spans="1:14">
      <c r="A10" s="3" t="s">
        <v>19</v>
      </c>
      <c r="B10" s="4">
        <v>45658</v>
      </c>
      <c r="C10" s="5" t="s">
        <v>20</v>
      </c>
      <c r="D10" s="5" t="s">
        <v>21</v>
      </c>
      <c r="E10" s="5">
        <v>71838.86</v>
      </c>
      <c r="F10" s="5">
        <v>10979</v>
      </c>
      <c r="G10" s="5">
        <v>0.215</v>
      </c>
      <c r="H10" s="5">
        <v>26</v>
      </c>
      <c r="I10" s="5">
        <v>88.6</v>
      </c>
      <c r="J10" s="5">
        <v>7.7</v>
      </c>
      <c r="K10" s="5">
        <v>1</v>
      </c>
      <c r="L10" s="5">
        <v>3.8</v>
      </c>
      <c r="M10" s="5">
        <v>930581.7</v>
      </c>
      <c r="N10" s="5">
        <v>136207.98000000001</v>
      </c>
    </row>
    <row r="11" spans="1:14">
      <c r="A11" s="3" t="s">
        <v>19</v>
      </c>
      <c r="B11" s="4">
        <v>45689</v>
      </c>
      <c r="C11" s="5" t="s">
        <v>20</v>
      </c>
      <c r="D11" s="5" t="s">
        <v>21</v>
      </c>
      <c r="E11" s="5">
        <v>68133.440000000002</v>
      </c>
      <c r="F11" s="5">
        <v>9459</v>
      </c>
      <c r="G11" s="5">
        <v>0.22</v>
      </c>
      <c r="H11" s="5">
        <v>21</v>
      </c>
      <c r="I11" s="5">
        <v>85</v>
      </c>
      <c r="J11" s="5">
        <v>1.91</v>
      </c>
      <c r="K11" s="5">
        <v>0</v>
      </c>
      <c r="L11" s="5">
        <v>4.2</v>
      </c>
      <c r="M11" s="5">
        <v>779010.94</v>
      </c>
      <c r="N11" s="5">
        <v>106328.09</v>
      </c>
    </row>
    <row r="12" spans="1:14">
      <c r="A12" s="3" t="s">
        <v>19</v>
      </c>
      <c r="B12" s="4">
        <v>45717</v>
      </c>
      <c r="C12" s="5" t="s">
        <v>20</v>
      </c>
      <c r="D12" s="5" t="s">
        <v>21</v>
      </c>
      <c r="E12" s="5">
        <v>34285.21</v>
      </c>
      <c r="F12" s="5">
        <v>9172</v>
      </c>
      <c r="G12" s="5">
        <v>0.21299999999999999</v>
      </c>
      <c r="H12" s="5">
        <v>22</v>
      </c>
      <c r="I12" s="5">
        <v>88.3</v>
      </c>
      <c r="J12" s="5">
        <v>10.46</v>
      </c>
      <c r="K12" s="5">
        <v>1</v>
      </c>
      <c r="L12" s="5">
        <v>3.8</v>
      </c>
      <c r="M12" s="5">
        <v>723060.76</v>
      </c>
      <c r="N12" s="5">
        <v>123131.24</v>
      </c>
    </row>
    <row r="13" spans="1:14">
      <c r="A13" s="3" t="s">
        <v>19</v>
      </c>
      <c r="B13" s="4">
        <v>45748</v>
      </c>
      <c r="C13" s="5" t="s">
        <v>20</v>
      </c>
      <c r="D13" s="5" t="s">
        <v>21</v>
      </c>
      <c r="E13" s="5">
        <v>67979.88</v>
      </c>
      <c r="F13" s="5">
        <v>11230</v>
      </c>
      <c r="G13" s="5">
        <v>2E-3</v>
      </c>
      <c r="H13" s="5">
        <v>28</v>
      </c>
      <c r="I13" s="5">
        <v>85.3</v>
      </c>
      <c r="J13" s="5">
        <v>7.16</v>
      </c>
      <c r="K13" s="5">
        <v>0</v>
      </c>
      <c r="L13" s="5">
        <v>3.8</v>
      </c>
      <c r="M13" s="5">
        <v>910791.94</v>
      </c>
      <c r="N13" s="5">
        <v>158891.28</v>
      </c>
    </row>
    <row r="14" spans="1:14">
      <c r="A14" s="3" t="s">
        <v>22</v>
      </c>
      <c r="B14" s="4">
        <v>45658</v>
      </c>
      <c r="C14" s="5" t="s">
        <v>15</v>
      </c>
      <c r="D14" s="5" t="s">
        <v>16</v>
      </c>
      <c r="E14" s="5">
        <v>71828.259999999995</v>
      </c>
      <c r="F14" s="5">
        <v>12775</v>
      </c>
      <c r="G14" s="5">
        <v>0.11600000000000001</v>
      </c>
      <c r="H14" s="5">
        <v>30</v>
      </c>
      <c r="I14" s="5">
        <v>81.7</v>
      </c>
      <c r="J14" s="5">
        <v>4.24</v>
      </c>
      <c r="K14" s="5">
        <v>1</v>
      </c>
      <c r="L14" s="5">
        <v>4.2</v>
      </c>
      <c r="M14" s="5">
        <v>922168.6</v>
      </c>
      <c r="N14" s="5">
        <v>107494.53</v>
      </c>
    </row>
    <row r="15" spans="1:14">
      <c r="A15" s="3" t="s">
        <v>22</v>
      </c>
      <c r="B15" s="4">
        <v>45689</v>
      </c>
      <c r="C15" s="5" t="s">
        <v>15</v>
      </c>
      <c r="D15" s="5" t="s">
        <v>16</v>
      </c>
      <c r="E15" s="5">
        <v>55716.82</v>
      </c>
      <c r="F15" s="5">
        <v>10054</v>
      </c>
      <c r="G15" s="5">
        <v>0.14599999999999999</v>
      </c>
      <c r="H15" s="5">
        <v>24</v>
      </c>
      <c r="I15" s="5">
        <v>84.9</v>
      </c>
      <c r="J15" s="5">
        <v>1.06</v>
      </c>
      <c r="K15" s="5">
        <v>0</v>
      </c>
      <c r="L15" s="5">
        <v>4.3</v>
      </c>
      <c r="M15" s="5">
        <v>726606.28</v>
      </c>
      <c r="N15" s="5">
        <v>122729.29</v>
      </c>
    </row>
    <row r="16" spans="1:14">
      <c r="A16" s="3" t="s">
        <v>22</v>
      </c>
      <c r="B16" s="4">
        <v>45717</v>
      </c>
      <c r="C16" s="5" t="s">
        <v>15</v>
      </c>
      <c r="D16" s="5" t="s">
        <v>16</v>
      </c>
      <c r="E16" s="5">
        <v>59909.51</v>
      </c>
      <c r="F16" s="5">
        <v>8895</v>
      </c>
      <c r="G16" s="5">
        <v>0.22800000000000001</v>
      </c>
      <c r="H16" s="5">
        <v>23</v>
      </c>
      <c r="I16" s="5">
        <v>88.8</v>
      </c>
      <c r="J16" s="5">
        <v>0.27</v>
      </c>
      <c r="K16" s="5">
        <v>0</v>
      </c>
      <c r="L16" s="5">
        <v>4.3</v>
      </c>
      <c r="M16" s="5">
        <v>746501.09</v>
      </c>
      <c r="N16" s="5">
        <v>136816.72</v>
      </c>
    </row>
    <row r="17" spans="1:14">
      <c r="A17" s="3" t="s">
        <v>22</v>
      </c>
      <c r="B17" s="4">
        <v>45748</v>
      </c>
      <c r="C17" s="5" t="s">
        <v>15</v>
      </c>
      <c r="D17" s="5" t="s">
        <v>16</v>
      </c>
      <c r="E17" s="5">
        <v>75305.710000000006</v>
      </c>
      <c r="F17" s="5">
        <v>10940</v>
      </c>
      <c r="G17" s="5">
        <v>6.0000000000000001E-3</v>
      </c>
      <c r="H17" s="5">
        <v>26</v>
      </c>
      <c r="I17" s="5">
        <v>76.5</v>
      </c>
      <c r="J17" s="5">
        <v>1.32</v>
      </c>
      <c r="K17" s="5">
        <v>0</v>
      </c>
      <c r="L17" s="5">
        <v>4.5</v>
      </c>
      <c r="M17" s="5">
        <v>834017.02</v>
      </c>
      <c r="N17" s="5">
        <v>114745.03</v>
      </c>
    </row>
    <row r="18" spans="1:14">
      <c r="A18" s="3" t="s">
        <v>23</v>
      </c>
      <c r="B18" s="4">
        <v>45658</v>
      </c>
      <c r="C18" s="5" t="s">
        <v>24</v>
      </c>
      <c r="D18" s="5" t="s">
        <v>16</v>
      </c>
      <c r="E18" s="5">
        <v>48804.22</v>
      </c>
      <c r="F18" s="5">
        <v>7057</v>
      </c>
      <c r="G18" s="5">
        <v>5.0000000000000001E-3</v>
      </c>
      <c r="H18" s="5">
        <v>15</v>
      </c>
      <c r="I18" s="5">
        <v>87.7</v>
      </c>
      <c r="J18" s="5">
        <v>1.22</v>
      </c>
      <c r="K18" s="5">
        <v>0</v>
      </c>
      <c r="L18" s="5">
        <v>3.7</v>
      </c>
      <c r="M18" s="5">
        <v>666152.52</v>
      </c>
      <c r="N18" s="5">
        <v>107490.58</v>
      </c>
    </row>
    <row r="19" spans="1:14">
      <c r="A19" s="3" t="s">
        <v>23</v>
      </c>
      <c r="B19" s="4">
        <v>45689</v>
      </c>
      <c r="C19" s="5" t="s">
        <v>24</v>
      </c>
      <c r="D19" s="5" t="s">
        <v>16</v>
      </c>
      <c r="E19" s="5">
        <v>59117.9</v>
      </c>
      <c r="F19" s="5">
        <v>4263</v>
      </c>
      <c r="G19" s="5">
        <v>0.11899999999999999</v>
      </c>
      <c r="H19" s="5">
        <v>9</v>
      </c>
      <c r="I19" s="5">
        <v>87.6</v>
      </c>
      <c r="J19" s="5">
        <v>4.01</v>
      </c>
      <c r="K19" s="5">
        <v>0</v>
      </c>
      <c r="L19" s="5">
        <v>3.6</v>
      </c>
      <c r="M19" s="5">
        <v>573155.18999999994</v>
      </c>
      <c r="N19" s="5">
        <v>83680.75</v>
      </c>
    </row>
    <row r="20" spans="1:14">
      <c r="A20" s="3" t="s">
        <v>23</v>
      </c>
      <c r="B20" s="4">
        <v>45717</v>
      </c>
      <c r="C20" s="5" t="s">
        <v>24</v>
      </c>
      <c r="D20" s="5" t="s">
        <v>16</v>
      </c>
      <c r="E20" s="5">
        <v>78831.12</v>
      </c>
      <c r="F20" s="5">
        <v>5538</v>
      </c>
      <c r="G20" s="5">
        <v>0</v>
      </c>
      <c r="H20" s="5">
        <v>15</v>
      </c>
      <c r="I20" s="5">
        <v>94.1</v>
      </c>
      <c r="J20" s="5">
        <v>0.2</v>
      </c>
      <c r="K20" s="5">
        <v>0</v>
      </c>
      <c r="L20" s="5">
        <v>3.9</v>
      </c>
      <c r="M20" s="5">
        <v>666573.19999999995</v>
      </c>
      <c r="N20" s="5">
        <v>140641.01999999999</v>
      </c>
    </row>
    <row r="21" spans="1:14">
      <c r="A21" s="3" t="s">
        <v>23</v>
      </c>
      <c r="B21" s="4">
        <v>45748</v>
      </c>
      <c r="C21" s="5" t="s">
        <v>24</v>
      </c>
      <c r="D21" s="5" t="s">
        <v>16</v>
      </c>
      <c r="E21" s="5">
        <v>41441.93</v>
      </c>
      <c r="F21" s="5">
        <v>4865</v>
      </c>
      <c r="G21" s="5">
        <v>0.158</v>
      </c>
      <c r="H21" s="5">
        <v>16</v>
      </c>
      <c r="I21" s="5">
        <v>88.3</v>
      </c>
      <c r="J21" s="5">
        <v>0.5</v>
      </c>
      <c r="K21" s="5">
        <v>0</v>
      </c>
      <c r="L21" s="5">
        <v>4</v>
      </c>
      <c r="M21" s="5">
        <v>591619.94999999995</v>
      </c>
      <c r="N21" s="5">
        <v>99521.35</v>
      </c>
    </row>
    <row r="22" spans="1:14">
      <c r="A22" s="3" t="s">
        <v>25</v>
      </c>
      <c r="B22" s="4">
        <v>45658</v>
      </c>
      <c r="C22" s="5" t="s">
        <v>20</v>
      </c>
      <c r="D22" s="5" t="s">
        <v>16</v>
      </c>
      <c r="E22" s="5">
        <v>30356.28</v>
      </c>
      <c r="F22" s="5">
        <v>2822</v>
      </c>
      <c r="G22" s="5">
        <v>0.23100000000000001</v>
      </c>
      <c r="H22" s="5">
        <v>9</v>
      </c>
      <c r="I22" s="5">
        <v>84.8</v>
      </c>
      <c r="J22" s="5">
        <v>6.95</v>
      </c>
      <c r="K22" s="5">
        <v>0</v>
      </c>
      <c r="L22" s="5">
        <v>5</v>
      </c>
      <c r="M22" s="5">
        <v>415721.82</v>
      </c>
      <c r="N22" s="5">
        <v>61179.15</v>
      </c>
    </row>
    <row r="23" spans="1:14">
      <c r="A23" s="3" t="s">
        <v>25</v>
      </c>
      <c r="B23" s="4">
        <v>45689</v>
      </c>
      <c r="C23" s="5" t="s">
        <v>20</v>
      </c>
      <c r="D23" s="5" t="s">
        <v>16</v>
      </c>
      <c r="E23" s="5">
        <v>33518.879999999997</v>
      </c>
      <c r="F23" s="5">
        <v>2121</v>
      </c>
      <c r="G23" s="5">
        <v>0.17599999999999999</v>
      </c>
      <c r="H23" s="5">
        <v>8</v>
      </c>
      <c r="I23" s="5">
        <v>88.5</v>
      </c>
      <c r="J23" s="5">
        <v>0.2</v>
      </c>
      <c r="K23" s="5">
        <v>0</v>
      </c>
      <c r="L23" s="5">
        <v>5</v>
      </c>
      <c r="M23" s="5">
        <v>491905.13</v>
      </c>
      <c r="N23" s="5">
        <v>79212.259999999995</v>
      </c>
    </row>
    <row r="24" spans="1:14">
      <c r="A24" s="3" t="s">
        <v>25</v>
      </c>
      <c r="B24" s="4">
        <v>45717</v>
      </c>
      <c r="C24" s="5" t="s">
        <v>20</v>
      </c>
      <c r="D24" s="5" t="s">
        <v>16</v>
      </c>
      <c r="E24" s="5">
        <v>42267.37</v>
      </c>
      <c r="F24" s="5">
        <v>3364</v>
      </c>
      <c r="G24" s="5">
        <v>0.16</v>
      </c>
      <c r="H24" s="5">
        <v>13</v>
      </c>
      <c r="I24" s="5">
        <v>82</v>
      </c>
      <c r="J24" s="5">
        <v>1.61</v>
      </c>
      <c r="K24" s="5">
        <v>1</v>
      </c>
      <c r="L24" s="5">
        <v>4.5999999999999996</v>
      </c>
      <c r="M24" s="5">
        <v>555929.4</v>
      </c>
      <c r="N24" s="5">
        <v>115201.76</v>
      </c>
    </row>
    <row r="25" spans="1:14">
      <c r="A25" s="3" t="s">
        <v>25</v>
      </c>
      <c r="B25" s="4">
        <v>45748</v>
      </c>
      <c r="C25" s="5" t="s">
        <v>20</v>
      </c>
      <c r="D25" s="5" t="s">
        <v>16</v>
      </c>
      <c r="E25" s="5">
        <v>62060.43</v>
      </c>
      <c r="F25" s="5">
        <v>2613</v>
      </c>
      <c r="G25" s="5">
        <v>0.216</v>
      </c>
      <c r="H25" s="5">
        <v>12</v>
      </c>
      <c r="I25" s="5">
        <v>92.1</v>
      </c>
      <c r="J25" s="5">
        <v>1.55</v>
      </c>
      <c r="K25" s="5">
        <v>0</v>
      </c>
      <c r="L25" s="5">
        <v>4.7</v>
      </c>
      <c r="M25" s="5">
        <v>565810.99</v>
      </c>
      <c r="N25" s="5">
        <v>77825.460000000006</v>
      </c>
    </row>
    <row r="26" spans="1:14">
      <c r="A26" s="3" t="s">
        <v>26</v>
      </c>
      <c r="B26" s="4">
        <v>45658</v>
      </c>
      <c r="C26" s="5" t="s">
        <v>27</v>
      </c>
      <c r="D26" s="5" t="s">
        <v>28</v>
      </c>
      <c r="E26" s="5">
        <v>57696.69</v>
      </c>
      <c r="F26" s="5">
        <v>10218</v>
      </c>
      <c r="G26" s="5">
        <v>0.121</v>
      </c>
      <c r="H26" s="5">
        <v>25</v>
      </c>
      <c r="I26" s="5">
        <v>94.8</v>
      </c>
      <c r="J26" s="5">
        <v>2.99</v>
      </c>
      <c r="K26" s="5">
        <v>0</v>
      </c>
      <c r="L26" s="5">
        <v>3.5</v>
      </c>
      <c r="M26" s="5">
        <v>811771.14</v>
      </c>
      <c r="N26" s="5">
        <v>148756.24</v>
      </c>
    </row>
    <row r="27" spans="1:14">
      <c r="A27" s="3" t="s">
        <v>26</v>
      </c>
      <c r="B27" s="4">
        <v>45689</v>
      </c>
      <c r="C27" s="5" t="s">
        <v>27</v>
      </c>
      <c r="D27" s="5" t="s">
        <v>28</v>
      </c>
      <c r="E27" s="5">
        <v>172415.52</v>
      </c>
      <c r="F27" s="5">
        <v>8927</v>
      </c>
      <c r="G27" s="5">
        <v>0.14000000000000001</v>
      </c>
      <c r="H27" s="5">
        <v>22</v>
      </c>
      <c r="I27" s="5">
        <v>86.2</v>
      </c>
      <c r="J27" s="5">
        <v>7.04</v>
      </c>
      <c r="K27" s="5">
        <v>0</v>
      </c>
      <c r="L27" s="5">
        <v>3.9</v>
      </c>
      <c r="M27" s="5">
        <v>800451.94</v>
      </c>
      <c r="N27" s="5">
        <v>111572.29</v>
      </c>
    </row>
    <row r="28" spans="1:14">
      <c r="A28" s="3" t="s">
        <v>26</v>
      </c>
      <c r="B28" s="4">
        <v>45717</v>
      </c>
      <c r="C28" s="5" t="s">
        <v>27</v>
      </c>
      <c r="D28" s="5" t="s">
        <v>28</v>
      </c>
      <c r="E28" s="5">
        <v>55270.52</v>
      </c>
      <c r="F28" s="5">
        <v>9315</v>
      </c>
      <c r="G28" s="5">
        <v>0.16900000000000001</v>
      </c>
      <c r="H28" s="5">
        <v>23</v>
      </c>
      <c r="I28" s="5">
        <v>91.9</v>
      </c>
      <c r="J28" s="5">
        <v>4.9400000000000004</v>
      </c>
      <c r="K28" s="5">
        <v>0</v>
      </c>
      <c r="L28" s="5">
        <v>4</v>
      </c>
      <c r="M28" s="5">
        <v>783672.82</v>
      </c>
      <c r="N28" s="5">
        <v>112577.14</v>
      </c>
    </row>
    <row r="29" spans="1:14">
      <c r="A29" s="3" t="s">
        <v>26</v>
      </c>
      <c r="B29" s="4">
        <v>45748</v>
      </c>
      <c r="C29" s="5" t="s">
        <v>27</v>
      </c>
      <c r="D29" s="5" t="s">
        <v>28</v>
      </c>
      <c r="E29" s="5">
        <v>52715.1</v>
      </c>
      <c r="F29" s="5">
        <v>7223</v>
      </c>
      <c r="G29" s="5">
        <v>0.122</v>
      </c>
      <c r="H29" s="5">
        <v>16</v>
      </c>
      <c r="I29" s="5">
        <v>84.2</v>
      </c>
      <c r="J29" s="5">
        <v>16.149999999999999</v>
      </c>
      <c r="K29" s="5">
        <v>0</v>
      </c>
      <c r="L29" s="5">
        <v>3.7</v>
      </c>
      <c r="M29" s="5">
        <v>701641.97</v>
      </c>
      <c r="N29" s="5">
        <v>106111.86</v>
      </c>
    </row>
    <row r="30" spans="1:14">
      <c r="A30" s="3" t="s">
        <v>29</v>
      </c>
      <c r="B30" s="4">
        <v>45658</v>
      </c>
      <c r="C30" s="5" t="s">
        <v>15</v>
      </c>
      <c r="D30" s="5" t="s">
        <v>16</v>
      </c>
      <c r="E30" s="5">
        <v>68600.62</v>
      </c>
      <c r="F30" s="5">
        <v>3988</v>
      </c>
      <c r="G30" s="5">
        <v>0.124</v>
      </c>
      <c r="H30" s="5">
        <v>11</v>
      </c>
      <c r="I30" s="5">
        <v>85</v>
      </c>
      <c r="J30" s="5">
        <v>0.48</v>
      </c>
      <c r="K30" s="5">
        <v>0</v>
      </c>
      <c r="L30" s="5">
        <v>3.6</v>
      </c>
      <c r="M30" s="5">
        <v>511844.41</v>
      </c>
      <c r="N30" s="5">
        <v>72774.44</v>
      </c>
    </row>
    <row r="31" spans="1:14">
      <c r="A31" s="3" t="s">
        <v>29</v>
      </c>
      <c r="B31" s="4">
        <v>45689</v>
      </c>
      <c r="C31" s="5" t="s">
        <v>15</v>
      </c>
      <c r="D31" s="5" t="s">
        <v>16</v>
      </c>
      <c r="E31" s="5">
        <v>63176.73</v>
      </c>
      <c r="F31" s="5">
        <v>2390</v>
      </c>
      <c r="G31" s="5">
        <v>0.216</v>
      </c>
      <c r="H31" s="5">
        <v>9</v>
      </c>
      <c r="I31" s="5">
        <v>87.5</v>
      </c>
      <c r="J31" s="5">
        <v>0.31</v>
      </c>
      <c r="K31" s="5">
        <v>0</v>
      </c>
      <c r="L31" s="5">
        <v>3.1</v>
      </c>
      <c r="M31" s="5">
        <v>537383.79</v>
      </c>
      <c r="N31" s="5">
        <v>63773.27</v>
      </c>
    </row>
    <row r="32" spans="1:14">
      <c r="A32" s="3" t="s">
        <v>29</v>
      </c>
      <c r="B32" s="4">
        <v>45717</v>
      </c>
      <c r="C32" s="5" t="s">
        <v>15</v>
      </c>
      <c r="D32" s="5" t="s">
        <v>16</v>
      </c>
      <c r="E32" s="5">
        <v>44970.080000000002</v>
      </c>
      <c r="F32" s="5">
        <v>2471</v>
      </c>
      <c r="G32" s="5">
        <v>0.13600000000000001</v>
      </c>
      <c r="H32" s="5">
        <v>11</v>
      </c>
      <c r="I32" s="5">
        <v>87.6</v>
      </c>
      <c r="J32" s="5">
        <v>3.01</v>
      </c>
      <c r="K32" s="5">
        <v>1</v>
      </c>
      <c r="L32" s="5">
        <v>3.7</v>
      </c>
      <c r="M32" s="5">
        <v>500173.02</v>
      </c>
      <c r="N32" s="5">
        <v>70982.05</v>
      </c>
    </row>
    <row r="33" spans="1:14">
      <c r="A33" s="3" t="s">
        <v>29</v>
      </c>
      <c r="B33" s="4">
        <v>45748</v>
      </c>
      <c r="C33" s="5" t="s">
        <v>15</v>
      </c>
      <c r="D33" s="5" t="s">
        <v>16</v>
      </c>
      <c r="E33" s="5">
        <v>69816.350000000006</v>
      </c>
      <c r="F33" s="5">
        <v>971</v>
      </c>
      <c r="G33" s="5">
        <v>0.16800000000000001</v>
      </c>
      <c r="H33" s="5">
        <v>5</v>
      </c>
      <c r="I33" s="5">
        <v>89.9</v>
      </c>
      <c r="J33" s="5">
        <v>12.15</v>
      </c>
      <c r="K33" s="5">
        <v>0</v>
      </c>
      <c r="L33" s="5">
        <v>3.6</v>
      </c>
      <c r="M33" s="5">
        <v>427917.38</v>
      </c>
      <c r="N33" s="5">
        <v>81824.31</v>
      </c>
    </row>
    <row r="34" spans="1:14">
      <c r="A34" s="3" t="s">
        <v>30</v>
      </c>
      <c r="B34" s="4">
        <v>45658</v>
      </c>
      <c r="C34" s="5" t="s">
        <v>20</v>
      </c>
      <c r="D34" s="5" t="s">
        <v>16</v>
      </c>
      <c r="E34" s="5">
        <v>54597.83</v>
      </c>
      <c r="F34" s="5">
        <v>9429</v>
      </c>
      <c r="G34" s="5">
        <v>0.188</v>
      </c>
      <c r="H34" s="5">
        <v>21</v>
      </c>
      <c r="I34" s="5">
        <v>83.3</v>
      </c>
      <c r="J34" s="5">
        <v>11.71</v>
      </c>
      <c r="K34" s="5">
        <v>0</v>
      </c>
      <c r="L34" s="5">
        <v>4.2</v>
      </c>
      <c r="M34" s="5">
        <v>641865.03</v>
      </c>
      <c r="N34" s="5">
        <v>81342.58</v>
      </c>
    </row>
    <row r="35" spans="1:14">
      <c r="A35" s="3" t="s">
        <v>30</v>
      </c>
      <c r="B35" s="4">
        <v>45689</v>
      </c>
      <c r="C35" s="5" t="s">
        <v>20</v>
      </c>
      <c r="D35" s="5" t="s">
        <v>16</v>
      </c>
      <c r="E35" s="5">
        <v>73771.91</v>
      </c>
      <c r="F35" s="5">
        <v>11695</v>
      </c>
      <c r="G35" s="5">
        <v>7.0000000000000007E-2</v>
      </c>
      <c r="H35" s="5">
        <v>25</v>
      </c>
      <c r="I35" s="5">
        <v>84.7</v>
      </c>
      <c r="J35" s="5">
        <v>0.62</v>
      </c>
      <c r="K35" s="5">
        <v>0</v>
      </c>
      <c r="M35" s="5">
        <v>799477.76000000001</v>
      </c>
      <c r="N35" s="5">
        <v>164974.41</v>
      </c>
    </row>
    <row r="36" spans="1:14">
      <c r="A36" s="3" t="s">
        <v>30</v>
      </c>
      <c r="B36" s="4">
        <v>45717</v>
      </c>
      <c r="C36" s="5" t="s">
        <v>20</v>
      </c>
      <c r="D36" s="5" t="s">
        <v>16</v>
      </c>
      <c r="E36" s="5">
        <v>74413.88</v>
      </c>
      <c r="F36" s="5">
        <v>9449</v>
      </c>
      <c r="G36" s="5">
        <v>3.9E-2</v>
      </c>
      <c r="H36" s="5">
        <v>23</v>
      </c>
      <c r="I36" s="5">
        <v>92.1</v>
      </c>
      <c r="J36" s="5">
        <v>2.12</v>
      </c>
      <c r="K36" s="5">
        <v>0</v>
      </c>
      <c r="L36" s="5">
        <v>3.5</v>
      </c>
      <c r="M36" s="5">
        <v>798952.17</v>
      </c>
      <c r="N36" s="5">
        <v>161499.04</v>
      </c>
    </row>
    <row r="37" spans="1:14">
      <c r="A37" s="3" t="s">
        <v>30</v>
      </c>
      <c r="B37" s="4">
        <v>45748</v>
      </c>
      <c r="C37" s="5" t="s">
        <v>20</v>
      </c>
      <c r="D37" s="5" t="s">
        <v>16</v>
      </c>
      <c r="E37" s="5">
        <v>52483.77</v>
      </c>
      <c r="F37" s="5">
        <v>10453</v>
      </c>
      <c r="G37" s="5">
        <v>0.247</v>
      </c>
      <c r="H37" s="5">
        <v>25</v>
      </c>
      <c r="I37" s="5">
        <v>99</v>
      </c>
      <c r="J37" s="5">
        <v>6.31</v>
      </c>
      <c r="K37" s="5">
        <v>0</v>
      </c>
      <c r="L37" s="5">
        <v>3.6</v>
      </c>
      <c r="M37" s="5">
        <v>800979.78</v>
      </c>
      <c r="N37" s="5">
        <v>149242.26999999999</v>
      </c>
    </row>
    <row r="38" spans="1:14">
      <c r="A38" s="3" t="s">
        <v>31</v>
      </c>
      <c r="B38" s="4">
        <v>45658</v>
      </c>
      <c r="C38" s="5" t="s">
        <v>20</v>
      </c>
      <c r="D38" s="5" t="s">
        <v>28</v>
      </c>
      <c r="E38" s="5">
        <v>75269.87</v>
      </c>
      <c r="F38" s="5">
        <v>8838</v>
      </c>
      <c r="G38" s="5">
        <v>9.1999999999999998E-2</v>
      </c>
      <c r="H38" s="5">
        <v>21</v>
      </c>
      <c r="I38" s="5">
        <v>83.1</v>
      </c>
      <c r="J38" s="5">
        <v>9.56</v>
      </c>
      <c r="K38" s="5">
        <v>1</v>
      </c>
      <c r="L38" s="5">
        <v>4.2</v>
      </c>
      <c r="M38" s="5">
        <v>820593.93</v>
      </c>
      <c r="N38" s="5">
        <v>115860.06</v>
      </c>
    </row>
    <row r="39" spans="1:14">
      <c r="A39" s="3" t="s">
        <v>31</v>
      </c>
      <c r="B39" s="4">
        <v>45689</v>
      </c>
      <c r="C39" s="5" t="s">
        <v>20</v>
      </c>
      <c r="D39" s="5" t="s">
        <v>28</v>
      </c>
      <c r="E39" s="5">
        <v>61245.41</v>
      </c>
      <c r="F39" s="5">
        <v>8156</v>
      </c>
      <c r="G39" s="5">
        <v>0.156</v>
      </c>
      <c r="H39" s="5">
        <v>19</v>
      </c>
      <c r="I39" s="5">
        <v>92.9</v>
      </c>
      <c r="J39" s="5">
        <v>9.0500000000000007</v>
      </c>
      <c r="K39" s="5">
        <v>0</v>
      </c>
      <c r="L39" s="5">
        <v>3.8</v>
      </c>
      <c r="M39" s="5">
        <v>718330.53</v>
      </c>
      <c r="N39" s="5">
        <v>93247.9</v>
      </c>
    </row>
    <row r="40" spans="1:14">
      <c r="A40" s="3" t="s">
        <v>31</v>
      </c>
      <c r="B40" s="4">
        <v>45717</v>
      </c>
      <c r="C40" s="5" t="s">
        <v>20</v>
      </c>
      <c r="D40" s="5" t="s">
        <v>28</v>
      </c>
      <c r="E40" s="5">
        <v>93381.26</v>
      </c>
      <c r="F40" s="5">
        <v>7562</v>
      </c>
      <c r="G40" s="5">
        <v>0.19800000000000001</v>
      </c>
      <c r="H40" s="5">
        <v>19</v>
      </c>
      <c r="I40" s="5">
        <v>82.9</v>
      </c>
      <c r="J40" s="5">
        <v>5.05</v>
      </c>
      <c r="K40" s="5">
        <v>0</v>
      </c>
      <c r="L40" s="5">
        <v>4</v>
      </c>
      <c r="M40" s="5">
        <v>736633.4</v>
      </c>
      <c r="N40" s="5">
        <v>115654.66</v>
      </c>
    </row>
    <row r="41" spans="1:14">
      <c r="A41" s="3" t="s">
        <v>31</v>
      </c>
      <c r="B41" s="4">
        <v>45748</v>
      </c>
      <c r="C41" s="5" t="s">
        <v>20</v>
      </c>
      <c r="D41" s="5" t="s">
        <v>28</v>
      </c>
      <c r="E41" s="5">
        <v>65012.19</v>
      </c>
      <c r="F41" s="5">
        <v>9598</v>
      </c>
      <c r="G41" s="5">
        <v>8.5000000000000006E-2</v>
      </c>
      <c r="H41" s="5">
        <v>24</v>
      </c>
      <c r="I41" s="5">
        <v>98.3</v>
      </c>
      <c r="J41" s="5">
        <v>0.89</v>
      </c>
      <c r="K41" s="5">
        <v>0</v>
      </c>
      <c r="L41" s="5">
        <v>3.8</v>
      </c>
      <c r="M41" s="5">
        <v>828623.85</v>
      </c>
      <c r="N41" s="5">
        <v>167320.51999999999</v>
      </c>
    </row>
    <row r="42" spans="1:14">
      <c r="A42" s="3" t="s">
        <v>32</v>
      </c>
      <c r="B42" s="4">
        <v>45658</v>
      </c>
      <c r="C42" s="5" t="s">
        <v>15</v>
      </c>
      <c r="D42" s="5" t="s">
        <v>28</v>
      </c>
      <c r="E42" s="5">
        <v>40462.94</v>
      </c>
      <c r="F42" s="5">
        <v>3660</v>
      </c>
      <c r="G42" s="5">
        <v>0.218</v>
      </c>
      <c r="H42" s="5">
        <v>11</v>
      </c>
      <c r="I42" s="5">
        <v>95.2</v>
      </c>
      <c r="J42" s="5">
        <v>5.57</v>
      </c>
      <c r="K42" s="5">
        <v>0</v>
      </c>
      <c r="L42" s="5">
        <v>4.4000000000000004</v>
      </c>
      <c r="M42" s="5">
        <v>592195.85</v>
      </c>
      <c r="N42" s="5">
        <v>92291.56</v>
      </c>
    </row>
    <row r="43" spans="1:14">
      <c r="A43" s="3" t="s">
        <v>32</v>
      </c>
      <c r="B43" s="4">
        <v>45689</v>
      </c>
      <c r="C43" s="5" t="s">
        <v>15</v>
      </c>
      <c r="D43" s="5" t="s">
        <v>28</v>
      </c>
      <c r="E43" s="5">
        <v>46123.88</v>
      </c>
      <c r="F43" s="5">
        <v>3227</v>
      </c>
      <c r="G43" s="5">
        <v>0.14299999999999999</v>
      </c>
      <c r="H43" s="5">
        <v>10</v>
      </c>
      <c r="I43" s="5">
        <v>75.400000000000006</v>
      </c>
      <c r="J43" s="5">
        <v>1.06</v>
      </c>
      <c r="K43" s="5">
        <v>0</v>
      </c>
      <c r="L43" s="5">
        <v>4.4000000000000004</v>
      </c>
      <c r="M43" s="5">
        <v>532644.46</v>
      </c>
      <c r="N43" s="5">
        <v>60681.32</v>
      </c>
    </row>
    <row r="44" spans="1:14">
      <c r="A44" s="3" t="s">
        <v>32</v>
      </c>
      <c r="B44" s="4">
        <v>45717</v>
      </c>
      <c r="C44" s="5" t="s">
        <v>15</v>
      </c>
      <c r="D44" s="5" t="s">
        <v>28</v>
      </c>
      <c r="E44" s="5">
        <v>68077.539999999994</v>
      </c>
      <c r="F44" s="5">
        <v>3360</v>
      </c>
      <c r="G44" s="5">
        <v>0.128</v>
      </c>
      <c r="H44" s="5">
        <v>14</v>
      </c>
      <c r="I44" s="5">
        <v>88.2</v>
      </c>
      <c r="J44" s="5">
        <v>1.24</v>
      </c>
      <c r="K44" s="5">
        <v>1</v>
      </c>
      <c r="L44" s="5">
        <v>4</v>
      </c>
      <c r="M44" s="5">
        <v>657429.18000000005</v>
      </c>
      <c r="N44" s="5">
        <v>88919.74</v>
      </c>
    </row>
    <row r="45" spans="1:14">
      <c r="A45" s="3" t="s">
        <v>32</v>
      </c>
      <c r="B45" s="4">
        <v>45748</v>
      </c>
      <c r="C45" s="5" t="s">
        <v>15</v>
      </c>
      <c r="D45" s="5" t="s">
        <v>28</v>
      </c>
      <c r="E45" s="5">
        <v>64882.14</v>
      </c>
      <c r="F45" s="5">
        <v>3642</v>
      </c>
      <c r="G45" s="5">
        <v>1.9E-2</v>
      </c>
      <c r="H45" s="5">
        <v>13</v>
      </c>
      <c r="I45" s="5">
        <v>87.8</v>
      </c>
      <c r="J45" s="5">
        <v>4.5199999999999996</v>
      </c>
      <c r="K45" s="5">
        <v>0</v>
      </c>
      <c r="L45" s="5">
        <v>4.2</v>
      </c>
      <c r="M45" s="5">
        <v>605178</v>
      </c>
      <c r="N45" s="5">
        <v>106958.74</v>
      </c>
    </row>
    <row r="46" spans="1:14">
      <c r="A46" s="3" t="s">
        <v>33</v>
      </c>
      <c r="B46" s="4">
        <v>45658</v>
      </c>
      <c r="C46" s="5" t="s">
        <v>27</v>
      </c>
      <c r="D46" s="5" t="s">
        <v>16</v>
      </c>
      <c r="E46" s="5">
        <v>138855.51</v>
      </c>
      <c r="F46" s="5">
        <v>5145</v>
      </c>
      <c r="G46" s="5">
        <v>0.06</v>
      </c>
      <c r="H46" s="5">
        <v>17</v>
      </c>
      <c r="I46" s="5">
        <v>88.2</v>
      </c>
      <c r="J46" s="5">
        <v>9.58</v>
      </c>
      <c r="K46" s="5">
        <v>0</v>
      </c>
      <c r="L46" s="5">
        <v>3.2</v>
      </c>
      <c r="M46" s="5">
        <v>595467.6</v>
      </c>
      <c r="N46" s="5">
        <v>104276.46</v>
      </c>
    </row>
    <row r="47" spans="1:14">
      <c r="A47" s="3" t="s">
        <v>33</v>
      </c>
      <c r="B47" s="4">
        <v>45689</v>
      </c>
      <c r="C47" s="5" t="s">
        <v>27</v>
      </c>
      <c r="D47" s="5" t="s">
        <v>16</v>
      </c>
      <c r="E47" s="5">
        <v>63630.21</v>
      </c>
      <c r="F47" s="5">
        <v>4460</v>
      </c>
      <c r="G47" s="5">
        <v>0.23499999999999999</v>
      </c>
      <c r="H47" s="5">
        <v>14</v>
      </c>
      <c r="I47" s="5">
        <v>98.6</v>
      </c>
      <c r="J47" s="5">
        <v>5.52</v>
      </c>
      <c r="K47" s="5">
        <v>0</v>
      </c>
      <c r="L47" s="5">
        <v>3.5</v>
      </c>
      <c r="M47" s="5">
        <v>599603.4</v>
      </c>
      <c r="N47" s="5">
        <v>112685.12</v>
      </c>
    </row>
    <row r="48" spans="1:14">
      <c r="A48" s="3" t="s">
        <v>33</v>
      </c>
      <c r="B48" s="4">
        <v>45717</v>
      </c>
      <c r="C48" s="5" t="s">
        <v>27</v>
      </c>
      <c r="D48" s="5" t="s">
        <v>16</v>
      </c>
      <c r="E48" s="5">
        <v>50043.65</v>
      </c>
      <c r="F48" s="5">
        <v>3804</v>
      </c>
      <c r="G48" s="5">
        <v>0.113</v>
      </c>
      <c r="H48" s="5">
        <v>11</v>
      </c>
      <c r="I48" s="5">
        <v>90.9</v>
      </c>
      <c r="J48" s="5">
        <v>2.7</v>
      </c>
      <c r="K48" s="5">
        <v>1</v>
      </c>
      <c r="L48" s="5">
        <v>3.2</v>
      </c>
      <c r="M48" s="5">
        <v>614800.09</v>
      </c>
      <c r="N48" s="5">
        <v>100044.2</v>
      </c>
    </row>
    <row r="49" spans="1:14">
      <c r="A49" s="3" t="s">
        <v>33</v>
      </c>
      <c r="B49" s="4">
        <v>45748</v>
      </c>
      <c r="C49" s="5" t="s">
        <v>27</v>
      </c>
      <c r="D49" s="5" t="s">
        <v>16</v>
      </c>
      <c r="E49" s="5">
        <v>42093.84</v>
      </c>
      <c r="F49" s="5">
        <v>4074</v>
      </c>
      <c r="G49" s="5">
        <v>0.155</v>
      </c>
      <c r="H49" s="5">
        <v>15</v>
      </c>
      <c r="I49" s="5">
        <v>88</v>
      </c>
      <c r="J49" s="5">
        <v>9.64</v>
      </c>
      <c r="K49" s="5">
        <v>0</v>
      </c>
      <c r="L49" s="5">
        <v>3.3</v>
      </c>
      <c r="M49" s="5">
        <v>585365.73</v>
      </c>
      <c r="N49" s="5">
        <v>81011.520000000004</v>
      </c>
    </row>
    <row r="50" spans="1:14">
      <c r="A50" s="3" t="s">
        <v>34</v>
      </c>
      <c r="B50" s="4">
        <v>45658</v>
      </c>
      <c r="C50" s="5" t="s">
        <v>20</v>
      </c>
      <c r="D50" s="5" t="s">
        <v>28</v>
      </c>
      <c r="E50" s="5">
        <v>46624.05</v>
      </c>
      <c r="F50" s="5">
        <v>5104</v>
      </c>
      <c r="G50" s="5">
        <v>0.109</v>
      </c>
      <c r="H50" s="5">
        <v>11</v>
      </c>
      <c r="I50" s="5">
        <v>97.3</v>
      </c>
      <c r="J50" s="5">
        <v>3.49</v>
      </c>
      <c r="K50" s="5">
        <v>1</v>
      </c>
      <c r="L50" s="5">
        <v>4.7</v>
      </c>
      <c r="M50" s="5">
        <v>622811.74</v>
      </c>
      <c r="N50" s="5">
        <v>109978.35</v>
      </c>
    </row>
    <row r="51" spans="1:14">
      <c r="A51" s="3" t="s">
        <v>34</v>
      </c>
      <c r="B51" s="4">
        <v>45689</v>
      </c>
      <c r="C51" s="5" t="s">
        <v>20</v>
      </c>
      <c r="D51" s="5" t="s">
        <v>28</v>
      </c>
      <c r="E51" s="5">
        <v>49710.29</v>
      </c>
      <c r="F51" s="5">
        <v>5559</v>
      </c>
      <c r="G51" s="5">
        <v>0.218</v>
      </c>
      <c r="H51" s="5">
        <v>14</v>
      </c>
      <c r="I51" s="5">
        <v>71</v>
      </c>
      <c r="J51" s="5">
        <v>9.11</v>
      </c>
      <c r="K51" s="5">
        <v>0</v>
      </c>
      <c r="L51" s="5">
        <v>4.5999999999999996</v>
      </c>
      <c r="M51" s="5">
        <v>603297.56999999995</v>
      </c>
      <c r="N51" s="5">
        <v>60592.26</v>
      </c>
    </row>
    <row r="52" spans="1:14">
      <c r="A52" s="3" t="s">
        <v>34</v>
      </c>
      <c r="B52" s="4">
        <v>45717</v>
      </c>
      <c r="C52" s="5" t="s">
        <v>20</v>
      </c>
      <c r="D52" s="5" t="s">
        <v>28</v>
      </c>
      <c r="E52" s="5">
        <v>48287.85</v>
      </c>
      <c r="F52" s="5">
        <v>5150</v>
      </c>
      <c r="G52" s="5">
        <v>8.0000000000000002E-3</v>
      </c>
      <c r="H52" s="5">
        <v>12</v>
      </c>
      <c r="I52" s="5">
        <v>80.400000000000006</v>
      </c>
      <c r="J52" s="5">
        <v>7.4</v>
      </c>
      <c r="K52" s="5">
        <v>0</v>
      </c>
      <c r="L52" s="5">
        <v>4.5</v>
      </c>
      <c r="M52" s="5">
        <v>625672.86</v>
      </c>
      <c r="N52" s="5">
        <v>118020.12</v>
      </c>
    </row>
    <row r="53" spans="1:14">
      <c r="A53" s="3" t="s">
        <v>34</v>
      </c>
      <c r="B53" s="4">
        <v>45748</v>
      </c>
      <c r="C53" s="5" t="s">
        <v>20</v>
      </c>
      <c r="D53" s="5" t="s">
        <v>28</v>
      </c>
      <c r="E53" s="5">
        <v>65312.49</v>
      </c>
      <c r="F53" s="5">
        <v>7189</v>
      </c>
      <c r="G53" s="5">
        <v>0.05</v>
      </c>
      <c r="H53" s="5">
        <v>19</v>
      </c>
      <c r="I53" s="5">
        <v>93.7</v>
      </c>
      <c r="J53" s="5">
        <v>7.16</v>
      </c>
      <c r="K53" s="5">
        <v>0</v>
      </c>
      <c r="L53" s="5">
        <v>4.5999999999999996</v>
      </c>
      <c r="M53" s="5">
        <v>773815.14</v>
      </c>
      <c r="N53" s="5">
        <v>133948.39000000001</v>
      </c>
    </row>
    <row r="54" spans="1:14">
      <c r="A54" s="3" t="s">
        <v>35</v>
      </c>
      <c r="B54" s="4">
        <v>45658</v>
      </c>
      <c r="C54" s="5" t="s">
        <v>27</v>
      </c>
      <c r="D54" s="5" t="s">
        <v>18</v>
      </c>
      <c r="E54" s="5">
        <v>53015.46</v>
      </c>
      <c r="F54" s="5">
        <v>3279</v>
      </c>
      <c r="G54" s="5">
        <v>8.6999999999999994E-2</v>
      </c>
      <c r="H54" s="5">
        <v>9</v>
      </c>
      <c r="I54" s="5">
        <v>84.3</v>
      </c>
      <c r="J54" s="5">
        <v>22.02</v>
      </c>
      <c r="K54" s="5">
        <v>0</v>
      </c>
      <c r="L54" s="5">
        <v>3.9</v>
      </c>
      <c r="M54" s="5">
        <v>463534.25</v>
      </c>
      <c r="N54" s="5">
        <v>81834.539999999994</v>
      </c>
    </row>
    <row r="55" spans="1:14">
      <c r="A55" s="3" t="s">
        <v>35</v>
      </c>
      <c r="B55" s="4">
        <v>45689</v>
      </c>
      <c r="C55" s="5" t="s">
        <v>27</v>
      </c>
      <c r="D55" s="5" t="s">
        <v>18</v>
      </c>
      <c r="E55" s="5">
        <v>99874.01</v>
      </c>
      <c r="F55" s="5">
        <v>5887</v>
      </c>
      <c r="G55" s="5">
        <v>0.26200000000000001</v>
      </c>
      <c r="H55" s="5">
        <v>14</v>
      </c>
      <c r="I55" s="5">
        <v>88.7</v>
      </c>
      <c r="J55" s="5">
        <v>6.18</v>
      </c>
      <c r="K55" s="5">
        <v>0</v>
      </c>
      <c r="L55" s="5">
        <v>4.7</v>
      </c>
      <c r="M55" s="5">
        <v>746677.75</v>
      </c>
      <c r="N55" s="5">
        <v>122437.84</v>
      </c>
    </row>
    <row r="56" spans="1:14">
      <c r="A56" s="3" t="s">
        <v>35</v>
      </c>
      <c r="B56" s="4">
        <v>45717</v>
      </c>
      <c r="C56" s="5" t="s">
        <v>27</v>
      </c>
      <c r="D56" s="5" t="s">
        <v>18</v>
      </c>
      <c r="E56" s="5">
        <v>81195.5</v>
      </c>
      <c r="F56" s="5">
        <v>5516</v>
      </c>
      <c r="G56" s="5">
        <v>0.106</v>
      </c>
      <c r="H56" s="5">
        <v>14</v>
      </c>
      <c r="I56" s="5">
        <v>88</v>
      </c>
      <c r="J56" s="5">
        <v>1.76</v>
      </c>
      <c r="K56" s="5">
        <v>0</v>
      </c>
      <c r="L56" s="5">
        <v>4.3</v>
      </c>
      <c r="M56" s="5">
        <v>720852.5</v>
      </c>
      <c r="N56" s="5">
        <v>98565.62</v>
      </c>
    </row>
    <row r="57" spans="1:14">
      <c r="A57" s="3" t="s">
        <v>35</v>
      </c>
      <c r="B57" s="4">
        <v>45748</v>
      </c>
      <c r="C57" s="5" t="s">
        <v>27</v>
      </c>
      <c r="D57" s="5" t="s">
        <v>18</v>
      </c>
      <c r="E57" s="5">
        <v>27808.6</v>
      </c>
      <c r="F57" s="5">
        <v>2863</v>
      </c>
      <c r="G57" s="5">
        <v>0.08</v>
      </c>
      <c r="H57" s="5">
        <v>13</v>
      </c>
      <c r="I57" s="5">
        <v>89.3</v>
      </c>
      <c r="J57" s="5">
        <v>0.47</v>
      </c>
      <c r="K57" s="5">
        <v>0</v>
      </c>
      <c r="L57" s="5">
        <v>4.0999999999999996</v>
      </c>
      <c r="M57" s="5">
        <v>487464.91</v>
      </c>
      <c r="N57" s="5">
        <v>64562.26</v>
      </c>
    </row>
    <row r="58" spans="1:14">
      <c r="A58" s="3" t="s">
        <v>36</v>
      </c>
      <c r="B58" s="4">
        <v>45658</v>
      </c>
      <c r="C58" s="5" t="s">
        <v>15</v>
      </c>
      <c r="D58" s="5" t="s">
        <v>21</v>
      </c>
      <c r="E58" s="5">
        <v>19365.060000000001</v>
      </c>
      <c r="F58" s="5">
        <v>2378</v>
      </c>
      <c r="G58" s="5">
        <v>0</v>
      </c>
      <c r="H58" s="5">
        <v>12</v>
      </c>
      <c r="I58" s="5">
        <v>94.8</v>
      </c>
      <c r="J58" s="5">
        <v>0.2</v>
      </c>
      <c r="K58" s="5">
        <v>0</v>
      </c>
      <c r="L58" s="5">
        <v>3.5</v>
      </c>
      <c r="M58" s="5">
        <v>518049.26</v>
      </c>
      <c r="N58" s="5">
        <v>108592.49</v>
      </c>
    </row>
    <row r="59" spans="1:14">
      <c r="A59" s="3" t="s">
        <v>36</v>
      </c>
      <c r="B59" s="4">
        <v>45689</v>
      </c>
      <c r="C59" s="5" t="s">
        <v>15</v>
      </c>
      <c r="D59" s="5" t="s">
        <v>21</v>
      </c>
      <c r="E59" s="5">
        <v>59405.68</v>
      </c>
      <c r="F59" s="5">
        <v>2515</v>
      </c>
      <c r="G59" s="5">
        <v>3.9E-2</v>
      </c>
      <c r="H59" s="5">
        <v>12</v>
      </c>
      <c r="I59" s="5">
        <v>76</v>
      </c>
      <c r="J59" s="5">
        <v>5.1100000000000003</v>
      </c>
      <c r="K59" s="5">
        <v>0</v>
      </c>
      <c r="L59" s="5">
        <v>3.7</v>
      </c>
      <c r="M59" s="5">
        <v>500298.48</v>
      </c>
      <c r="N59" s="5">
        <v>73461.320000000007</v>
      </c>
    </row>
    <row r="60" spans="1:14">
      <c r="A60" s="3" t="s">
        <v>36</v>
      </c>
      <c r="B60" s="4">
        <v>45717</v>
      </c>
      <c r="C60" s="5" t="s">
        <v>15</v>
      </c>
      <c r="D60" s="5" t="s">
        <v>21</v>
      </c>
      <c r="E60" s="5">
        <v>118910.48</v>
      </c>
      <c r="F60" s="5">
        <v>4022</v>
      </c>
      <c r="G60" s="5">
        <v>0.13700000000000001</v>
      </c>
      <c r="H60" s="5">
        <v>11</v>
      </c>
      <c r="I60" s="5">
        <v>87.1</v>
      </c>
      <c r="J60" s="5">
        <v>0.2</v>
      </c>
      <c r="K60" s="5">
        <v>0</v>
      </c>
      <c r="L60" s="5">
        <v>3.1</v>
      </c>
      <c r="M60" s="5">
        <v>617291.15</v>
      </c>
      <c r="N60" s="5">
        <v>117782</v>
      </c>
    </row>
    <row r="61" spans="1:14">
      <c r="A61" s="3" t="s">
        <v>36</v>
      </c>
      <c r="B61" s="4">
        <v>45748</v>
      </c>
      <c r="C61" s="5" t="s">
        <v>15</v>
      </c>
      <c r="D61" s="5" t="s">
        <v>21</v>
      </c>
      <c r="E61" s="5">
        <v>52952.12</v>
      </c>
      <c r="F61" s="5">
        <v>4377</v>
      </c>
      <c r="G61" s="5">
        <v>9.1999999999999998E-2</v>
      </c>
      <c r="H61" s="5">
        <v>14</v>
      </c>
      <c r="I61" s="5">
        <v>88.6</v>
      </c>
      <c r="J61" s="5">
        <v>13.59</v>
      </c>
      <c r="K61" s="5">
        <v>0</v>
      </c>
      <c r="L61" s="5">
        <v>3.1</v>
      </c>
      <c r="M61" s="5">
        <v>553756.43000000005</v>
      </c>
      <c r="N61" s="5">
        <v>86166.77</v>
      </c>
    </row>
    <row r="62" spans="1:14">
      <c r="A62" s="3" t="s">
        <v>37</v>
      </c>
      <c r="B62" s="4">
        <v>45658</v>
      </c>
      <c r="C62" s="5" t="s">
        <v>24</v>
      </c>
      <c r="D62" s="5" t="s">
        <v>18</v>
      </c>
      <c r="E62" s="5">
        <v>74907.98</v>
      </c>
      <c r="F62" s="5">
        <v>5306</v>
      </c>
      <c r="G62" s="5">
        <v>6.2E-2</v>
      </c>
      <c r="H62" s="5">
        <v>16</v>
      </c>
      <c r="I62" s="5">
        <v>95.6</v>
      </c>
      <c r="J62" s="5">
        <v>1.02</v>
      </c>
      <c r="K62" s="5">
        <v>0</v>
      </c>
      <c r="L62" s="5">
        <v>3.7</v>
      </c>
      <c r="M62" s="5">
        <v>749559.71</v>
      </c>
      <c r="N62" s="5">
        <v>144522.53</v>
      </c>
    </row>
    <row r="63" spans="1:14">
      <c r="A63" s="3" t="s">
        <v>37</v>
      </c>
      <c r="B63" s="4">
        <v>45689</v>
      </c>
      <c r="C63" s="5" t="s">
        <v>24</v>
      </c>
      <c r="D63" s="5" t="s">
        <v>18</v>
      </c>
      <c r="E63" s="5">
        <v>37284.660000000003</v>
      </c>
      <c r="F63" s="5">
        <v>3928</v>
      </c>
      <c r="G63" s="5">
        <v>7.3999999999999996E-2</v>
      </c>
      <c r="H63" s="5">
        <v>12</v>
      </c>
      <c r="I63" s="5">
        <v>86.5</v>
      </c>
      <c r="J63" s="5">
        <v>1.64</v>
      </c>
      <c r="K63" s="5">
        <v>0</v>
      </c>
      <c r="L63" s="5">
        <v>3.8</v>
      </c>
      <c r="M63" s="5">
        <v>615966.48</v>
      </c>
      <c r="N63" s="5">
        <v>91509.38</v>
      </c>
    </row>
    <row r="64" spans="1:14">
      <c r="A64" s="3" t="s">
        <v>37</v>
      </c>
      <c r="B64" s="4">
        <v>45717</v>
      </c>
      <c r="C64" s="5" t="s">
        <v>24</v>
      </c>
      <c r="D64" s="5" t="s">
        <v>18</v>
      </c>
      <c r="E64" s="5">
        <v>50343.19</v>
      </c>
      <c r="F64" s="5">
        <v>3845</v>
      </c>
      <c r="G64" s="5">
        <v>0.113</v>
      </c>
      <c r="H64" s="5">
        <v>9</v>
      </c>
      <c r="I64" s="5">
        <v>88.7</v>
      </c>
      <c r="J64" s="5">
        <v>5.15</v>
      </c>
      <c r="K64" s="5">
        <v>0</v>
      </c>
      <c r="L64" s="5">
        <v>3.3</v>
      </c>
      <c r="M64" s="5">
        <v>572011.19999999995</v>
      </c>
      <c r="N64" s="5">
        <v>101409.68</v>
      </c>
    </row>
    <row r="65" spans="1:14">
      <c r="A65" s="3" t="s">
        <v>37</v>
      </c>
      <c r="B65" s="4">
        <v>45748</v>
      </c>
      <c r="C65" s="5" t="s">
        <v>24</v>
      </c>
      <c r="D65" s="5" t="s">
        <v>18</v>
      </c>
      <c r="E65" s="5">
        <v>74954.47</v>
      </c>
      <c r="F65" s="5">
        <v>6620</v>
      </c>
      <c r="G65" s="5">
        <v>5.3999999999999999E-2</v>
      </c>
      <c r="H65" s="5">
        <v>17</v>
      </c>
      <c r="I65" s="5">
        <v>91.1</v>
      </c>
      <c r="J65" s="5">
        <v>1.1100000000000001</v>
      </c>
      <c r="K65" s="5">
        <v>0</v>
      </c>
      <c r="L65" s="5">
        <v>3.5</v>
      </c>
      <c r="M65" s="5">
        <v>761860.19</v>
      </c>
      <c r="N65" s="5">
        <v>133279.38</v>
      </c>
    </row>
    <row r="66" spans="1:14">
      <c r="A66" s="3" t="s">
        <v>38</v>
      </c>
      <c r="B66" s="4">
        <v>45658</v>
      </c>
      <c r="C66" s="5" t="s">
        <v>27</v>
      </c>
      <c r="D66" s="5" t="s">
        <v>18</v>
      </c>
      <c r="E66" s="5">
        <v>70040.31</v>
      </c>
      <c r="F66" s="5">
        <v>9175</v>
      </c>
      <c r="G66" s="5">
        <v>0.107</v>
      </c>
      <c r="H66" s="5">
        <v>23</v>
      </c>
      <c r="I66" s="5">
        <v>95.1</v>
      </c>
      <c r="J66" s="5">
        <v>6.08</v>
      </c>
      <c r="K66" s="5">
        <v>1</v>
      </c>
      <c r="L66" s="5">
        <v>3.4</v>
      </c>
      <c r="M66" s="5">
        <v>784502.68</v>
      </c>
      <c r="N66" s="5">
        <v>129519.72</v>
      </c>
    </row>
    <row r="67" spans="1:14">
      <c r="A67" s="3" t="s">
        <v>38</v>
      </c>
      <c r="B67" s="4">
        <v>45689</v>
      </c>
      <c r="C67" s="5" t="s">
        <v>27</v>
      </c>
      <c r="D67" s="5" t="s">
        <v>18</v>
      </c>
      <c r="E67" s="5">
        <v>51148.69</v>
      </c>
      <c r="F67" s="5">
        <v>7940</v>
      </c>
      <c r="G67" s="5">
        <v>0.156</v>
      </c>
      <c r="H67" s="5">
        <v>18</v>
      </c>
      <c r="I67" s="5">
        <v>93.3</v>
      </c>
      <c r="J67" s="5">
        <v>10.91</v>
      </c>
      <c r="K67" s="5">
        <v>0</v>
      </c>
      <c r="L67" s="5">
        <v>3.6</v>
      </c>
      <c r="M67" s="5">
        <v>717141.55</v>
      </c>
      <c r="N67" s="5">
        <v>134013.60999999999</v>
      </c>
    </row>
    <row r="68" spans="1:14">
      <c r="A68" s="3" t="s">
        <v>38</v>
      </c>
      <c r="B68" s="4">
        <v>45717</v>
      </c>
      <c r="C68" s="5" t="s">
        <v>27</v>
      </c>
      <c r="D68" s="5" t="s">
        <v>18</v>
      </c>
      <c r="E68" s="5">
        <v>79346.100000000006</v>
      </c>
      <c r="F68" s="5">
        <v>9628</v>
      </c>
      <c r="G68" s="5">
        <v>0.10199999999999999</v>
      </c>
      <c r="H68" s="5">
        <v>20</v>
      </c>
      <c r="I68" s="5">
        <v>99</v>
      </c>
      <c r="J68" s="5">
        <v>19.010000000000002</v>
      </c>
      <c r="K68" s="5">
        <v>1</v>
      </c>
      <c r="L68" s="5">
        <v>3.2</v>
      </c>
      <c r="M68" s="5">
        <v>685379.08</v>
      </c>
      <c r="N68" s="5">
        <v>106898.82</v>
      </c>
    </row>
    <row r="69" spans="1:14">
      <c r="A69" s="3" t="s">
        <v>38</v>
      </c>
      <c r="B69" s="4">
        <v>45748</v>
      </c>
      <c r="C69" s="5" t="s">
        <v>27</v>
      </c>
      <c r="D69" s="5" t="s">
        <v>18</v>
      </c>
      <c r="E69" s="5">
        <v>42018.400000000001</v>
      </c>
      <c r="F69" s="5">
        <v>8296</v>
      </c>
      <c r="G69" s="5">
        <v>0.115</v>
      </c>
      <c r="H69" s="5">
        <v>17</v>
      </c>
      <c r="I69" s="5">
        <v>91.8</v>
      </c>
      <c r="J69" s="5">
        <v>0.77</v>
      </c>
      <c r="K69" s="5">
        <v>0</v>
      </c>
      <c r="L69" s="5">
        <v>3.4</v>
      </c>
      <c r="M69" s="5">
        <v>740496.65</v>
      </c>
      <c r="N69" s="5">
        <v>128020.9</v>
      </c>
    </row>
    <row r="70" spans="1:14">
      <c r="A70" s="3" t="s">
        <v>39</v>
      </c>
      <c r="B70" s="4">
        <v>45658</v>
      </c>
      <c r="C70" s="5" t="s">
        <v>15</v>
      </c>
      <c r="D70" s="5" t="s">
        <v>18</v>
      </c>
      <c r="E70" s="5">
        <v>70937.240000000005</v>
      </c>
      <c r="F70" s="5">
        <v>3595</v>
      </c>
      <c r="G70" s="5">
        <v>0.14099999999999999</v>
      </c>
      <c r="H70" s="5">
        <v>11</v>
      </c>
      <c r="I70" s="5">
        <v>88.9</v>
      </c>
      <c r="J70" s="5">
        <v>2.83</v>
      </c>
      <c r="K70" s="5">
        <v>1</v>
      </c>
      <c r="L70" s="5">
        <v>3.3</v>
      </c>
      <c r="M70" s="5">
        <v>661927.14</v>
      </c>
      <c r="N70" s="5">
        <v>79218.570000000007</v>
      </c>
    </row>
    <row r="71" spans="1:14">
      <c r="A71" s="3" t="s">
        <v>39</v>
      </c>
      <c r="B71" s="4">
        <v>45689</v>
      </c>
      <c r="C71" s="5" t="s">
        <v>15</v>
      </c>
      <c r="D71" s="5" t="s">
        <v>18</v>
      </c>
      <c r="E71" s="5">
        <v>36813.449999999997</v>
      </c>
      <c r="F71" s="5">
        <v>2834</v>
      </c>
      <c r="G71" s="5">
        <v>0.191</v>
      </c>
      <c r="H71" s="5">
        <v>11</v>
      </c>
      <c r="I71" s="5">
        <v>81.8</v>
      </c>
      <c r="J71" s="5">
        <v>2.33</v>
      </c>
      <c r="K71" s="5">
        <v>0</v>
      </c>
      <c r="L71" s="5">
        <v>3.3</v>
      </c>
      <c r="M71" s="5">
        <v>479050.5</v>
      </c>
      <c r="N71" s="5">
        <v>53651.11</v>
      </c>
    </row>
    <row r="72" spans="1:14">
      <c r="A72" s="3" t="s">
        <v>39</v>
      </c>
      <c r="B72" s="4">
        <v>45717</v>
      </c>
      <c r="C72" s="5" t="s">
        <v>15</v>
      </c>
      <c r="D72" s="5" t="s">
        <v>18</v>
      </c>
      <c r="E72" s="5">
        <v>60571.82</v>
      </c>
      <c r="F72" s="5">
        <v>3193</v>
      </c>
      <c r="G72" s="5">
        <v>0.19700000000000001</v>
      </c>
      <c r="H72" s="5">
        <v>7</v>
      </c>
      <c r="I72" s="5">
        <v>99</v>
      </c>
      <c r="J72" s="5">
        <v>1.43</v>
      </c>
      <c r="K72" s="5">
        <v>0</v>
      </c>
      <c r="L72" s="5">
        <v>3.2</v>
      </c>
      <c r="M72" s="5">
        <v>605023.87</v>
      </c>
      <c r="N72" s="5">
        <v>98545.81</v>
      </c>
    </row>
    <row r="73" spans="1:14">
      <c r="A73" s="3" t="s">
        <v>39</v>
      </c>
      <c r="B73" s="4">
        <v>45748</v>
      </c>
      <c r="C73" s="5" t="s">
        <v>15</v>
      </c>
      <c r="D73" s="5" t="s">
        <v>18</v>
      </c>
      <c r="E73" s="5">
        <v>55081.16</v>
      </c>
      <c r="F73" s="5">
        <v>5485</v>
      </c>
      <c r="G73" s="5">
        <v>3.5999999999999997E-2</v>
      </c>
      <c r="H73" s="5">
        <v>12</v>
      </c>
      <c r="I73" s="5">
        <v>88</v>
      </c>
      <c r="K73" s="5">
        <v>0</v>
      </c>
      <c r="L73" s="5">
        <v>3.5</v>
      </c>
      <c r="M73" s="5">
        <v>674774.09</v>
      </c>
      <c r="N73" s="5">
        <v>141917.59</v>
      </c>
    </row>
    <row r="74" spans="1:14">
      <c r="A74" s="3" t="s">
        <v>40</v>
      </c>
      <c r="B74" s="4">
        <v>45658</v>
      </c>
      <c r="C74" s="5" t="s">
        <v>15</v>
      </c>
      <c r="D74" s="5" t="s">
        <v>16</v>
      </c>
      <c r="E74" s="5">
        <v>46201.46</v>
      </c>
      <c r="F74" s="5">
        <v>5918</v>
      </c>
      <c r="G74" s="5">
        <v>0.27700000000000002</v>
      </c>
      <c r="H74" s="5">
        <v>13</v>
      </c>
      <c r="I74" s="5">
        <v>78.8</v>
      </c>
      <c r="J74" s="5">
        <v>4.91</v>
      </c>
      <c r="K74" s="5">
        <v>0</v>
      </c>
      <c r="L74" s="5">
        <v>4.5</v>
      </c>
      <c r="M74" s="5">
        <v>616069.41</v>
      </c>
      <c r="N74" s="5">
        <v>54453.99</v>
      </c>
    </row>
    <row r="75" spans="1:14">
      <c r="A75" s="3" t="s">
        <v>40</v>
      </c>
      <c r="B75" s="4">
        <v>45689</v>
      </c>
      <c r="C75" s="5" t="s">
        <v>15</v>
      </c>
      <c r="D75" s="5" t="s">
        <v>16</v>
      </c>
      <c r="E75" s="5">
        <v>53762.92</v>
      </c>
      <c r="F75" s="5">
        <v>6821</v>
      </c>
      <c r="G75" s="5">
        <v>6.6000000000000003E-2</v>
      </c>
      <c r="H75" s="5">
        <v>19</v>
      </c>
      <c r="I75" s="5">
        <v>94.6</v>
      </c>
      <c r="J75" s="5">
        <v>7.03</v>
      </c>
      <c r="K75" s="5">
        <v>0</v>
      </c>
      <c r="L75" s="5">
        <v>4.4000000000000004</v>
      </c>
      <c r="M75" s="5">
        <v>630829.93999999994</v>
      </c>
      <c r="N75" s="5">
        <v>117090.02</v>
      </c>
    </row>
    <row r="76" spans="1:14">
      <c r="A76" s="3" t="s">
        <v>40</v>
      </c>
      <c r="B76" s="4">
        <v>45717</v>
      </c>
      <c r="C76" s="5" t="s">
        <v>15</v>
      </c>
      <c r="D76" s="5" t="s">
        <v>16</v>
      </c>
      <c r="E76" s="5">
        <v>70144.78</v>
      </c>
      <c r="F76" s="5">
        <v>6806</v>
      </c>
      <c r="G76" s="5">
        <v>0.17799999999999999</v>
      </c>
      <c r="H76" s="5">
        <v>20</v>
      </c>
      <c r="I76" s="5">
        <v>93.1</v>
      </c>
      <c r="J76" s="5">
        <v>0.28000000000000003</v>
      </c>
      <c r="K76" s="5">
        <v>1</v>
      </c>
      <c r="L76" s="5">
        <v>4.3</v>
      </c>
      <c r="M76" s="5">
        <v>788087.68</v>
      </c>
      <c r="N76" s="5">
        <v>116803.42</v>
      </c>
    </row>
    <row r="77" spans="1:14">
      <c r="A77" s="3" t="s">
        <v>40</v>
      </c>
      <c r="B77" s="4">
        <v>45748</v>
      </c>
      <c r="C77" s="5" t="s">
        <v>15</v>
      </c>
      <c r="D77" s="5" t="s">
        <v>16</v>
      </c>
      <c r="E77" s="5">
        <v>58749.63</v>
      </c>
      <c r="F77" s="5">
        <v>8252</v>
      </c>
      <c r="G77" s="5">
        <v>0.20300000000000001</v>
      </c>
      <c r="H77" s="5">
        <v>20</v>
      </c>
      <c r="I77" s="5">
        <v>85.2</v>
      </c>
      <c r="J77" s="5">
        <v>3.61</v>
      </c>
      <c r="K77" s="5">
        <v>0</v>
      </c>
      <c r="L77" s="5">
        <v>4.5</v>
      </c>
      <c r="M77" s="5">
        <v>680840.36</v>
      </c>
      <c r="N77" s="5">
        <v>68007.679999999993</v>
      </c>
    </row>
    <row r="78" spans="1:14">
      <c r="A78" s="3" t="s">
        <v>41</v>
      </c>
      <c r="B78" s="4">
        <v>45658</v>
      </c>
      <c r="C78" s="5" t="s">
        <v>24</v>
      </c>
      <c r="D78" s="5" t="s">
        <v>18</v>
      </c>
      <c r="E78" s="5">
        <v>56973.18</v>
      </c>
      <c r="F78" s="5">
        <v>6662</v>
      </c>
      <c r="G78" s="5">
        <v>0.1</v>
      </c>
      <c r="H78" s="5">
        <v>15</v>
      </c>
      <c r="I78" s="5">
        <v>77.7</v>
      </c>
      <c r="J78" s="5">
        <v>7.52</v>
      </c>
      <c r="K78" s="5">
        <v>1</v>
      </c>
      <c r="L78" s="5">
        <v>3.2</v>
      </c>
      <c r="M78" s="5">
        <v>643657.47</v>
      </c>
      <c r="N78" s="5">
        <v>87022.45</v>
      </c>
    </row>
    <row r="79" spans="1:14">
      <c r="A79" s="3" t="s">
        <v>41</v>
      </c>
      <c r="B79" s="4">
        <v>45689</v>
      </c>
      <c r="C79" s="5" t="s">
        <v>24</v>
      </c>
      <c r="D79" s="5" t="s">
        <v>18</v>
      </c>
      <c r="E79" s="5">
        <v>54872.82</v>
      </c>
      <c r="F79" s="5">
        <v>5962</v>
      </c>
      <c r="G79" s="5">
        <v>6.4000000000000001E-2</v>
      </c>
      <c r="H79" s="5">
        <v>12</v>
      </c>
      <c r="I79" s="5">
        <v>85.4</v>
      </c>
      <c r="J79" s="5">
        <v>2.58</v>
      </c>
      <c r="K79" s="5">
        <v>0</v>
      </c>
      <c r="L79" s="5">
        <v>2.9</v>
      </c>
      <c r="M79" s="5">
        <v>691112.6</v>
      </c>
      <c r="N79" s="5">
        <v>109212.83</v>
      </c>
    </row>
    <row r="80" spans="1:14">
      <c r="A80" s="3" t="s">
        <v>41</v>
      </c>
      <c r="B80" s="4">
        <v>45717</v>
      </c>
      <c r="C80" s="5" t="s">
        <v>24</v>
      </c>
      <c r="D80" s="5" t="s">
        <v>18</v>
      </c>
      <c r="E80" s="5">
        <v>80562.81</v>
      </c>
      <c r="F80" s="5">
        <v>7470</v>
      </c>
      <c r="G80" s="5">
        <v>0.17199999999999999</v>
      </c>
      <c r="H80" s="5">
        <v>16</v>
      </c>
      <c r="I80" s="5">
        <v>83.5</v>
      </c>
      <c r="J80" s="5">
        <v>2.29</v>
      </c>
      <c r="K80" s="5">
        <v>0</v>
      </c>
      <c r="L80" s="5">
        <v>3.3</v>
      </c>
      <c r="M80" s="5">
        <v>776922.17</v>
      </c>
      <c r="N80" s="5">
        <v>150701.93</v>
      </c>
    </row>
    <row r="81" spans="1:14">
      <c r="A81" s="3" t="s">
        <v>41</v>
      </c>
      <c r="B81" s="4">
        <v>45748</v>
      </c>
      <c r="C81" s="5" t="s">
        <v>24</v>
      </c>
      <c r="D81" s="5" t="s">
        <v>18</v>
      </c>
      <c r="E81" s="5">
        <v>77999.899999999994</v>
      </c>
      <c r="F81" s="5">
        <v>5974</v>
      </c>
      <c r="G81" s="5">
        <v>0.252</v>
      </c>
      <c r="H81" s="5">
        <v>14</v>
      </c>
      <c r="I81" s="5">
        <v>81.3</v>
      </c>
      <c r="J81" s="5">
        <v>2.39</v>
      </c>
      <c r="K81" s="5">
        <v>0</v>
      </c>
      <c r="L81" s="5">
        <v>3.2</v>
      </c>
      <c r="M81" s="5">
        <v>636561.34</v>
      </c>
      <c r="N81" s="5">
        <v>93861.06</v>
      </c>
    </row>
    <row r="82" spans="1:14">
      <c r="A82" s="3" t="s">
        <v>42</v>
      </c>
      <c r="B82" s="4">
        <v>45658</v>
      </c>
      <c r="C82" s="5" t="s">
        <v>27</v>
      </c>
      <c r="D82" s="5" t="s">
        <v>28</v>
      </c>
      <c r="E82" s="5">
        <v>60881.01</v>
      </c>
      <c r="F82" s="5">
        <v>5410</v>
      </c>
      <c r="G82" s="5">
        <v>0.17899999999999999</v>
      </c>
      <c r="H82" s="5">
        <v>15</v>
      </c>
      <c r="I82" s="5">
        <v>83.9</v>
      </c>
      <c r="J82" s="5">
        <v>5.24</v>
      </c>
      <c r="K82" s="5">
        <v>0</v>
      </c>
      <c r="L82" s="5">
        <v>4.5999999999999996</v>
      </c>
      <c r="M82" s="5">
        <v>621369.57999999996</v>
      </c>
      <c r="N82" s="5">
        <v>85493.64</v>
      </c>
    </row>
    <row r="83" spans="1:14">
      <c r="A83" s="3" t="s">
        <v>42</v>
      </c>
      <c r="B83" s="4">
        <v>45689</v>
      </c>
      <c r="C83" s="5" t="s">
        <v>27</v>
      </c>
      <c r="D83" s="5" t="s">
        <v>28</v>
      </c>
      <c r="E83" s="5">
        <v>60628.38</v>
      </c>
      <c r="F83" s="5">
        <v>4451</v>
      </c>
      <c r="G83" s="5">
        <v>9.5000000000000001E-2</v>
      </c>
      <c r="H83" s="5">
        <v>10</v>
      </c>
      <c r="I83" s="5">
        <v>89.6</v>
      </c>
      <c r="J83" s="5">
        <v>3.17</v>
      </c>
      <c r="K83" s="5">
        <v>0</v>
      </c>
      <c r="L83" s="5">
        <v>4.5999999999999996</v>
      </c>
      <c r="M83" s="5">
        <v>682208.01</v>
      </c>
      <c r="N83" s="5">
        <v>110318.84</v>
      </c>
    </row>
    <row r="84" spans="1:14">
      <c r="A84" s="3" t="s">
        <v>42</v>
      </c>
      <c r="B84" s="4">
        <v>45717</v>
      </c>
      <c r="C84" s="5" t="s">
        <v>27</v>
      </c>
      <c r="D84" s="5" t="s">
        <v>28</v>
      </c>
      <c r="E84" s="5">
        <v>72731.14</v>
      </c>
      <c r="F84" s="5">
        <v>4644</v>
      </c>
      <c r="G84" s="5">
        <v>8.4000000000000005E-2</v>
      </c>
      <c r="H84" s="5">
        <v>15</v>
      </c>
      <c r="I84" s="5">
        <v>87.1</v>
      </c>
      <c r="J84" s="5">
        <v>2.66</v>
      </c>
      <c r="K84" s="5">
        <v>0</v>
      </c>
      <c r="L84" s="5">
        <v>4.5999999999999996</v>
      </c>
      <c r="M84" s="5">
        <v>727241.86</v>
      </c>
      <c r="N84" s="5">
        <v>155810.29999999999</v>
      </c>
    </row>
    <row r="85" spans="1:14">
      <c r="A85" s="3" t="s">
        <v>42</v>
      </c>
      <c r="B85" s="4">
        <v>45748</v>
      </c>
      <c r="C85" s="5" t="s">
        <v>27</v>
      </c>
      <c r="D85" s="5" t="s">
        <v>28</v>
      </c>
      <c r="E85" s="5">
        <v>36475.71</v>
      </c>
      <c r="F85" s="5">
        <v>3559</v>
      </c>
      <c r="G85" s="5">
        <v>0.03</v>
      </c>
      <c r="H85" s="5">
        <v>8</v>
      </c>
      <c r="I85" s="5">
        <v>83.6</v>
      </c>
      <c r="J85" s="5">
        <v>1.41</v>
      </c>
      <c r="K85" s="5">
        <v>0</v>
      </c>
      <c r="L85" s="5">
        <v>4.2</v>
      </c>
      <c r="M85" s="5">
        <v>569100.78</v>
      </c>
      <c r="N85" s="5">
        <v>104808.78</v>
      </c>
    </row>
    <row r="86" spans="1:14">
      <c r="A86" s="3" t="s">
        <v>43</v>
      </c>
      <c r="B86" s="4">
        <v>45658</v>
      </c>
      <c r="C86" s="5" t="s">
        <v>27</v>
      </c>
      <c r="D86" s="5" t="s">
        <v>18</v>
      </c>
      <c r="E86" s="5">
        <v>55388.11</v>
      </c>
      <c r="F86" s="5">
        <v>3091</v>
      </c>
      <c r="G86" s="5">
        <v>0.108</v>
      </c>
      <c r="H86" s="5">
        <v>7</v>
      </c>
      <c r="I86" s="5">
        <v>85.4</v>
      </c>
      <c r="J86" s="5">
        <v>7.34</v>
      </c>
      <c r="K86" s="5">
        <v>0</v>
      </c>
      <c r="L86" s="5">
        <v>4.9000000000000004</v>
      </c>
      <c r="M86" s="5">
        <v>574436.29</v>
      </c>
      <c r="N86" s="5">
        <v>80271.990000000005</v>
      </c>
    </row>
    <row r="87" spans="1:14">
      <c r="A87" s="3" t="s">
        <v>43</v>
      </c>
      <c r="B87" s="4">
        <v>45689</v>
      </c>
      <c r="C87" s="5" t="s">
        <v>27</v>
      </c>
      <c r="D87" s="5" t="s">
        <v>18</v>
      </c>
      <c r="E87" s="5">
        <v>88443.77</v>
      </c>
      <c r="F87" s="5">
        <v>4004</v>
      </c>
      <c r="G87" s="5">
        <v>0.20599999999999999</v>
      </c>
      <c r="H87" s="5">
        <v>11</v>
      </c>
      <c r="I87" s="5">
        <v>91.9</v>
      </c>
      <c r="J87" s="5">
        <v>5.95</v>
      </c>
      <c r="K87" s="5">
        <v>0</v>
      </c>
      <c r="M87" s="5">
        <v>611766.72</v>
      </c>
      <c r="N87" s="5">
        <v>88275.61</v>
      </c>
    </row>
    <row r="88" spans="1:14">
      <c r="A88" s="3" t="s">
        <v>43</v>
      </c>
      <c r="B88" s="4">
        <v>45717</v>
      </c>
      <c r="C88" s="5" t="s">
        <v>27</v>
      </c>
      <c r="D88" s="5" t="s">
        <v>18</v>
      </c>
      <c r="E88" s="5">
        <v>78231.91</v>
      </c>
      <c r="F88" s="5">
        <v>3788</v>
      </c>
      <c r="G88" s="5">
        <v>5.8999999999999997E-2</v>
      </c>
      <c r="H88" s="5">
        <v>11</v>
      </c>
      <c r="I88" s="5">
        <v>88.5</v>
      </c>
      <c r="J88" s="5">
        <v>15.51</v>
      </c>
      <c r="K88" s="5">
        <v>0</v>
      </c>
      <c r="L88" s="5">
        <v>4.3</v>
      </c>
      <c r="M88" s="5">
        <v>614596.31999999995</v>
      </c>
      <c r="N88" s="5">
        <v>131199.41</v>
      </c>
    </row>
    <row r="89" spans="1:14">
      <c r="A89" s="3" t="s">
        <v>43</v>
      </c>
      <c r="B89" s="4">
        <v>45748</v>
      </c>
      <c r="C89" s="5" t="s">
        <v>27</v>
      </c>
      <c r="D89" s="5" t="s">
        <v>18</v>
      </c>
      <c r="E89" s="5">
        <v>18996.32</v>
      </c>
      <c r="F89" s="5">
        <v>1260</v>
      </c>
      <c r="G89" s="5">
        <v>0.14499999999999999</v>
      </c>
      <c r="H89" s="5">
        <v>9</v>
      </c>
      <c r="I89" s="5">
        <v>86.4</v>
      </c>
      <c r="J89" s="5">
        <v>4.3099999999999996</v>
      </c>
      <c r="K89" s="5">
        <v>0</v>
      </c>
      <c r="L89" s="5">
        <v>4.5999999999999996</v>
      </c>
      <c r="M89" s="5">
        <v>450711.92</v>
      </c>
      <c r="N89" s="5">
        <v>90043.76</v>
      </c>
    </row>
    <row r="90" spans="1:14">
      <c r="A90" s="3" t="s">
        <v>44</v>
      </c>
      <c r="B90" s="4">
        <v>45658</v>
      </c>
      <c r="C90" s="5" t="s">
        <v>24</v>
      </c>
      <c r="D90" s="5" t="s">
        <v>28</v>
      </c>
      <c r="E90" s="5">
        <v>50517.94</v>
      </c>
      <c r="F90" s="5">
        <v>7024</v>
      </c>
      <c r="G90" s="5">
        <v>2.9000000000000001E-2</v>
      </c>
      <c r="H90" s="5">
        <v>18</v>
      </c>
      <c r="I90" s="5">
        <v>79.2</v>
      </c>
      <c r="J90" s="5">
        <v>6.61</v>
      </c>
      <c r="K90" s="5">
        <v>1</v>
      </c>
      <c r="L90" s="5">
        <v>4.0999999999999996</v>
      </c>
      <c r="M90" s="5">
        <v>711213.46</v>
      </c>
      <c r="N90" s="5">
        <v>105863.26</v>
      </c>
    </row>
    <row r="91" spans="1:14">
      <c r="A91" s="3" t="s">
        <v>44</v>
      </c>
      <c r="B91" s="4">
        <v>45689</v>
      </c>
      <c r="C91" s="5" t="s">
        <v>24</v>
      </c>
      <c r="D91" s="5" t="s">
        <v>28</v>
      </c>
      <c r="E91" s="5">
        <v>141540.29</v>
      </c>
      <c r="F91" s="5">
        <v>5400</v>
      </c>
      <c r="G91" s="5">
        <v>1.2999999999999999E-2</v>
      </c>
      <c r="H91" s="5">
        <v>12</v>
      </c>
      <c r="I91" s="5">
        <v>87</v>
      </c>
      <c r="J91" s="5">
        <v>4.26</v>
      </c>
      <c r="K91" s="5">
        <v>0</v>
      </c>
      <c r="L91" s="5">
        <v>4.5</v>
      </c>
      <c r="M91" s="5">
        <v>627171.9</v>
      </c>
      <c r="N91" s="5">
        <v>105772.75</v>
      </c>
    </row>
    <row r="92" spans="1:14">
      <c r="A92" s="3" t="s">
        <v>44</v>
      </c>
      <c r="B92" s="4">
        <v>45717</v>
      </c>
      <c r="C92" s="5" t="s">
        <v>24</v>
      </c>
      <c r="D92" s="5" t="s">
        <v>28</v>
      </c>
      <c r="E92" s="5">
        <v>82116.19</v>
      </c>
      <c r="F92" s="5">
        <v>5988</v>
      </c>
      <c r="G92" s="5">
        <v>0.04</v>
      </c>
      <c r="H92" s="5">
        <v>17</v>
      </c>
      <c r="I92" s="5">
        <v>91.8</v>
      </c>
      <c r="J92" s="5">
        <v>5.75</v>
      </c>
      <c r="K92" s="5">
        <v>0</v>
      </c>
      <c r="L92" s="5">
        <v>4.7</v>
      </c>
      <c r="M92" s="5">
        <v>739852.58</v>
      </c>
      <c r="N92" s="5">
        <v>129386.43</v>
      </c>
    </row>
    <row r="93" spans="1:14">
      <c r="A93" s="3" t="s">
        <v>44</v>
      </c>
      <c r="B93" s="4">
        <v>45748</v>
      </c>
      <c r="C93" s="5" t="s">
        <v>24</v>
      </c>
      <c r="D93" s="5" t="s">
        <v>28</v>
      </c>
      <c r="E93" s="5">
        <v>31207.51</v>
      </c>
      <c r="F93" s="5">
        <v>3701</v>
      </c>
      <c r="G93" s="5">
        <v>4.2999999999999997E-2</v>
      </c>
      <c r="H93" s="5">
        <v>11</v>
      </c>
      <c r="I93" s="5">
        <v>84.7</v>
      </c>
      <c r="J93" s="5">
        <v>0.33</v>
      </c>
      <c r="K93" s="5">
        <v>0</v>
      </c>
      <c r="L93" s="5">
        <v>4.3</v>
      </c>
      <c r="M93" s="5">
        <v>586307.22</v>
      </c>
      <c r="N93" s="5">
        <v>73927.850000000006</v>
      </c>
    </row>
    <row r="94" spans="1:14">
      <c r="A94" s="3" t="s">
        <v>45</v>
      </c>
      <c r="B94" s="4">
        <v>45658</v>
      </c>
      <c r="C94" s="5" t="s">
        <v>27</v>
      </c>
      <c r="D94" s="5" t="s">
        <v>16</v>
      </c>
      <c r="E94" s="5">
        <v>38966.589999999997</v>
      </c>
      <c r="F94" s="5">
        <v>4509</v>
      </c>
      <c r="G94" s="5">
        <v>0.19400000000000001</v>
      </c>
      <c r="H94" s="5">
        <v>14</v>
      </c>
      <c r="I94" s="5">
        <v>91.1</v>
      </c>
      <c r="J94" s="5">
        <v>2.92</v>
      </c>
      <c r="K94" s="5">
        <v>0</v>
      </c>
      <c r="L94" s="5">
        <v>4.5999999999999996</v>
      </c>
      <c r="M94" s="5">
        <v>585937.48</v>
      </c>
      <c r="N94" s="5">
        <v>82624.2</v>
      </c>
    </row>
    <row r="95" spans="1:14">
      <c r="A95" s="3" t="s">
        <v>45</v>
      </c>
      <c r="B95" s="4">
        <v>45689</v>
      </c>
      <c r="C95" s="5" t="s">
        <v>27</v>
      </c>
      <c r="D95" s="5" t="s">
        <v>16</v>
      </c>
      <c r="E95" s="5">
        <v>67439.3</v>
      </c>
      <c r="F95" s="5">
        <v>6477</v>
      </c>
      <c r="G95" s="5">
        <v>0</v>
      </c>
      <c r="H95" s="5">
        <v>16</v>
      </c>
      <c r="I95" s="5">
        <v>90.9</v>
      </c>
      <c r="J95" s="5">
        <v>1.64</v>
      </c>
      <c r="K95" s="5">
        <v>0</v>
      </c>
      <c r="L95" s="5">
        <v>4.5</v>
      </c>
      <c r="M95" s="5">
        <v>753473.55</v>
      </c>
      <c r="N95" s="5">
        <v>151527.22</v>
      </c>
    </row>
    <row r="96" spans="1:14">
      <c r="A96" s="3" t="s">
        <v>45</v>
      </c>
      <c r="B96" s="4">
        <v>45717</v>
      </c>
      <c r="C96" s="5" t="s">
        <v>27</v>
      </c>
      <c r="D96" s="5" t="s">
        <v>16</v>
      </c>
      <c r="E96" s="5">
        <v>86421.88</v>
      </c>
      <c r="F96" s="5">
        <v>7970</v>
      </c>
      <c r="G96" s="5">
        <v>7.2999999999999995E-2</v>
      </c>
      <c r="H96" s="5">
        <v>17</v>
      </c>
      <c r="I96" s="5">
        <v>91.3</v>
      </c>
      <c r="J96" s="5">
        <v>0.8</v>
      </c>
      <c r="K96" s="5">
        <v>0</v>
      </c>
      <c r="L96" s="5">
        <v>5</v>
      </c>
      <c r="M96" s="5">
        <v>838250.32</v>
      </c>
      <c r="N96" s="5">
        <v>122939.34</v>
      </c>
    </row>
    <row r="97" spans="1:14">
      <c r="A97" s="3" t="s">
        <v>45</v>
      </c>
      <c r="B97" s="4">
        <v>45748</v>
      </c>
      <c r="C97" s="5" t="s">
        <v>27</v>
      </c>
      <c r="D97" s="5" t="s">
        <v>16</v>
      </c>
      <c r="E97" s="5">
        <v>9534.65</v>
      </c>
      <c r="F97" s="5">
        <v>6057</v>
      </c>
      <c r="G97" s="5">
        <v>7.3999999999999996E-2</v>
      </c>
      <c r="H97" s="5">
        <v>15</v>
      </c>
      <c r="I97" s="5">
        <v>94.1</v>
      </c>
      <c r="J97" s="5">
        <v>5.79</v>
      </c>
      <c r="K97" s="5">
        <v>0</v>
      </c>
      <c r="L97" s="5">
        <v>4.5</v>
      </c>
      <c r="M97" s="5">
        <v>607898.12</v>
      </c>
      <c r="N97" s="5">
        <v>135404.85</v>
      </c>
    </row>
    <row r="98" spans="1:14">
      <c r="A98" s="3" t="s">
        <v>46</v>
      </c>
      <c r="B98" s="4">
        <v>45658</v>
      </c>
      <c r="C98" s="5" t="s">
        <v>27</v>
      </c>
      <c r="D98" s="5" t="s">
        <v>28</v>
      </c>
      <c r="E98" s="5">
        <v>61132.07</v>
      </c>
      <c r="F98" s="5">
        <v>6394</v>
      </c>
      <c r="G98" s="5">
        <v>0.16300000000000001</v>
      </c>
      <c r="H98" s="5">
        <v>19</v>
      </c>
      <c r="I98" s="5">
        <v>91</v>
      </c>
      <c r="J98" s="5">
        <v>19.600000000000001</v>
      </c>
      <c r="K98" s="5">
        <v>0</v>
      </c>
      <c r="L98" s="5">
        <v>4.4000000000000004</v>
      </c>
      <c r="M98" s="5">
        <v>691113.62</v>
      </c>
      <c r="N98" s="5">
        <v>135145.44</v>
      </c>
    </row>
    <row r="99" spans="1:14">
      <c r="A99" s="3" t="s">
        <v>46</v>
      </c>
      <c r="B99" s="4">
        <v>45689</v>
      </c>
      <c r="C99" s="5" t="s">
        <v>27</v>
      </c>
      <c r="D99" s="5" t="s">
        <v>28</v>
      </c>
      <c r="E99" s="5">
        <v>78839.39</v>
      </c>
      <c r="F99" s="5">
        <v>5150</v>
      </c>
      <c r="G99" s="5">
        <v>0.17100000000000001</v>
      </c>
      <c r="H99" s="5">
        <v>13</v>
      </c>
      <c r="I99" s="5">
        <v>85.8</v>
      </c>
      <c r="J99" s="5">
        <v>7.57</v>
      </c>
      <c r="K99" s="5">
        <v>0</v>
      </c>
      <c r="L99" s="5">
        <v>4.3</v>
      </c>
      <c r="M99" s="5">
        <v>735509.4</v>
      </c>
      <c r="N99" s="5">
        <v>83895.96</v>
      </c>
    </row>
    <row r="100" spans="1:14">
      <c r="A100" s="3" t="s">
        <v>46</v>
      </c>
      <c r="B100" s="4">
        <v>45717</v>
      </c>
      <c r="C100" s="5" t="s">
        <v>27</v>
      </c>
      <c r="D100" s="5" t="s">
        <v>28</v>
      </c>
      <c r="E100" s="5">
        <v>38752.800000000003</v>
      </c>
      <c r="F100" s="5">
        <v>4712</v>
      </c>
      <c r="G100" s="5">
        <v>7.4999999999999997E-2</v>
      </c>
      <c r="H100" s="5">
        <v>15</v>
      </c>
      <c r="I100" s="5">
        <v>89.7</v>
      </c>
      <c r="K100" s="5">
        <v>0</v>
      </c>
      <c r="L100" s="5">
        <v>4.3</v>
      </c>
      <c r="M100" s="5">
        <v>605775.32999999996</v>
      </c>
      <c r="N100" s="5">
        <v>107194.6</v>
      </c>
    </row>
    <row r="101" spans="1:14">
      <c r="A101" s="3" t="s">
        <v>46</v>
      </c>
      <c r="B101" s="4">
        <v>45748</v>
      </c>
      <c r="C101" s="5" t="s">
        <v>27</v>
      </c>
      <c r="D101" s="5" t="s">
        <v>28</v>
      </c>
      <c r="E101" s="5">
        <v>55101.1</v>
      </c>
      <c r="F101" s="5">
        <v>5281</v>
      </c>
      <c r="G101" s="5">
        <v>0.189</v>
      </c>
      <c r="H101" s="5">
        <v>11</v>
      </c>
      <c r="I101" s="5">
        <v>91</v>
      </c>
      <c r="J101" s="5">
        <v>2.7</v>
      </c>
      <c r="K101" s="5">
        <v>0</v>
      </c>
      <c r="L101" s="5">
        <v>4.4000000000000004</v>
      </c>
      <c r="M101" s="5">
        <v>675177.68</v>
      </c>
      <c r="N101" s="5">
        <v>105628.68</v>
      </c>
    </row>
    <row r="102" spans="1:14">
      <c r="A102" s="3" t="s">
        <v>47</v>
      </c>
      <c r="B102" s="4">
        <v>45658</v>
      </c>
      <c r="C102" s="5" t="s">
        <v>15</v>
      </c>
      <c r="D102" s="5" t="s">
        <v>28</v>
      </c>
      <c r="E102" s="5">
        <v>53084.76</v>
      </c>
      <c r="F102" s="5">
        <v>3642</v>
      </c>
      <c r="G102" s="5">
        <v>0.15</v>
      </c>
      <c r="H102" s="5">
        <v>12</v>
      </c>
      <c r="I102" s="5">
        <v>91.4</v>
      </c>
      <c r="J102" s="5">
        <v>0.2</v>
      </c>
      <c r="K102" s="5">
        <v>0</v>
      </c>
      <c r="L102" s="5">
        <v>4.4000000000000004</v>
      </c>
      <c r="M102" s="5">
        <v>635181.35</v>
      </c>
      <c r="N102" s="5">
        <v>83341.25</v>
      </c>
    </row>
    <row r="103" spans="1:14">
      <c r="A103" s="3" t="s">
        <v>47</v>
      </c>
      <c r="B103" s="4">
        <v>45689</v>
      </c>
      <c r="C103" s="5" t="s">
        <v>15</v>
      </c>
      <c r="D103" s="5" t="s">
        <v>28</v>
      </c>
      <c r="E103" s="5">
        <v>63101.59</v>
      </c>
      <c r="F103" s="5">
        <v>4373</v>
      </c>
      <c r="G103" s="5">
        <v>0.17299999999999999</v>
      </c>
      <c r="H103" s="5">
        <v>14</v>
      </c>
      <c r="I103" s="5">
        <v>90.4</v>
      </c>
      <c r="J103" s="5">
        <v>7.87</v>
      </c>
      <c r="K103" s="5">
        <v>0</v>
      </c>
      <c r="L103" s="5">
        <v>4.7</v>
      </c>
      <c r="M103" s="5">
        <v>586626.93999999994</v>
      </c>
      <c r="N103" s="5">
        <v>86498.55</v>
      </c>
    </row>
    <row r="104" spans="1:14">
      <c r="A104" s="3" t="s">
        <v>47</v>
      </c>
      <c r="B104" s="4">
        <v>45717</v>
      </c>
      <c r="C104" s="5" t="s">
        <v>15</v>
      </c>
      <c r="D104" s="5" t="s">
        <v>28</v>
      </c>
      <c r="E104" s="5">
        <v>90084.4</v>
      </c>
      <c r="F104" s="5">
        <v>6832</v>
      </c>
      <c r="G104" s="5">
        <v>0.185</v>
      </c>
      <c r="H104" s="5">
        <v>14</v>
      </c>
      <c r="I104" s="5">
        <v>80.5</v>
      </c>
      <c r="J104" s="5">
        <v>0.77</v>
      </c>
      <c r="K104" s="5">
        <v>1</v>
      </c>
      <c r="L104" s="5">
        <v>4.4000000000000004</v>
      </c>
      <c r="M104" s="5">
        <v>740102.64</v>
      </c>
      <c r="N104" s="5">
        <v>114299.07</v>
      </c>
    </row>
    <row r="105" spans="1:14">
      <c r="A105" s="3" t="s">
        <v>47</v>
      </c>
      <c r="B105" s="4">
        <v>45748</v>
      </c>
      <c r="C105" s="5" t="s">
        <v>15</v>
      </c>
      <c r="D105" s="5" t="s">
        <v>28</v>
      </c>
      <c r="E105" s="5">
        <v>32266.639999999999</v>
      </c>
      <c r="F105" s="5">
        <v>2414</v>
      </c>
      <c r="G105" s="5">
        <v>0.08</v>
      </c>
      <c r="H105" s="5">
        <v>7</v>
      </c>
      <c r="I105" s="5">
        <v>92.1</v>
      </c>
      <c r="J105" s="5">
        <v>1.48</v>
      </c>
      <c r="K105" s="5">
        <v>0</v>
      </c>
      <c r="L105" s="5">
        <v>5</v>
      </c>
      <c r="M105" s="5">
        <v>625514.04</v>
      </c>
      <c r="N105" s="5">
        <v>120685.08</v>
      </c>
    </row>
    <row r="106" spans="1:14">
      <c r="A106" s="3" t="s">
        <v>48</v>
      </c>
      <c r="B106" s="4">
        <v>45658</v>
      </c>
      <c r="C106" s="5" t="s">
        <v>27</v>
      </c>
      <c r="D106" s="5" t="s">
        <v>18</v>
      </c>
      <c r="E106" s="5">
        <v>57919.07</v>
      </c>
      <c r="F106" s="5">
        <v>7374</v>
      </c>
      <c r="G106" s="5">
        <v>0.10299999999999999</v>
      </c>
      <c r="H106" s="5">
        <v>21</v>
      </c>
      <c r="I106" s="5">
        <v>82.3</v>
      </c>
      <c r="J106" s="5">
        <v>2.87</v>
      </c>
      <c r="K106" s="5">
        <v>0</v>
      </c>
      <c r="L106" s="5">
        <v>2.9</v>
      </c>
      <c r="M106" s="5">
        <v>727227.2</v>
      </c>
      <c r="N106" s="5">
        <v>121292.01</v>
      </c>
    </row>
    <row r="107" spans="1:14">
      <c r="A107" s="3" t="s">
        <v>48</v>
      </c>
      <c r="B107" s="4">
        <v>45689</v>
      </c>
      <c r="C107" s="5" t="s">
        <v>27</v>
      </c>
      <c r="D107" s="5" t="s">
        <v>18</v>
      </c>
      <c r="E107" s="5">
        <v>74679.350000000006</v>
      </c>
      <c r="F107" s="5">
        <v>8739</v>
      </c>
      <c r="G107" s="5">
        <v>5.6000000000000001E-2</v>
      </c>
      <c r="H107" s="5">
        <v>21</v>
      </c>
      <c r="I107" s="5">
        <v>91.8</v>
      </c>
      <c r="J107" s="5">
        <v>2.83</v>
      </c>
      <c r="K107" s="5">
        <v>0</v>
      </c>
      <c r="L107" s="5">
        <v>3</v>
      </c>
      <c r="M107" s="5">
        <v>783797.89</v>
      </c>
      <c r="N107" s="5">
        <v>157620.70000000001</v>
      </c>
    </row>
    <row r="108" spans="1:14">
      <c r="A108" s="3" t="s">
        <v>48</v>
      </c>
      <c r="B108" s="4">
        <v>45717</v>
      </c>
      <c r="C108" s="5" t="s">
        <v>27</v>
      </c>
      <c r="D108" s="5" t="s">
        <v>18</v>
      </c>
      <c r="E108" s="5">
        <v>64294.23</v>
      </c>
      <c r="F108" s="5">
        <v>6992</v>
      </c>
      <c r="G108" s="5">
        <v>0.13300000000000001</v>
      </c>
      <c r="H108" s="5">
        <v>14</v>
      </c>
      <c r="I108" s="5">
        <v>94.1</v>
      </c>
      <c r="J108" s="5">
        <v>0.25</v>
      </c>
      <c r="K108" s="5">
        <v>0</v>
      </c>
      <c r="L108" s="5">
        <v>3</v>
      </c>
      <c r="M108" s="5">
        <v>795153.84</v>
      </c>
      <c r="N108" s="5">
        <v>143194.21</v>
      </c>
    </row>
    <row r="109" spans="1:14">
      <c r="A109" s="3" t="s">
        <v>48</v>
      </c>
      <c r="B109" s="4">
        <v>45748</v>
      </c>
      <c r="C109" s="5" t="s">
        <v>27</v>
      </c>
      <c r="D109" s="5" t="s">
        <v>18</v>
      </c>
      <c r="E109" s="5">
        <v>31042.03</v>
      </c>
      <c r="F109" s="5">
        <v>7107</v>
      </c>
      <c r="G109" s="5">
        <v>5.0999999999999997E-2</v>
      </c>
      <c r="H109" s="5">
        <v>15</v>
      </c>
      <c r="I109" s="5">
        <v>87</v>
      </c>
      <c r="J109" s="5">
        <v>13.33</v>
      </c>
      <c r="K109" s="5">
        <v>0</v>
      </c>
      <c r="L109" s="5">
        <v>3.2</v>
      </c>
      <c r="M109" s="5">
        <v>665594.93999999994</v>
      </c>
      <c r="N109" s="5">
        <v>127597.34</v>
      </c>
    </row>
    <row r="110" spans="1:14">
      <c r="A110" s="3" t="s">
        <v>49</v>
      </c>
      <c r="B110" s="4">
        <v>45658</v>
      </c>
      <c r="C110" s="5" t="s">
        <v>15</v>
      </c>
      <c r="D110" s="5" t="s">
        <v>28</v>
      </c>
      <c r="E110" s="5">
        <v>75265.02</v>
      </c>
      <c r="F110" s="5">
        <v>6975</v>
      </c>
      <c r="G110" s="5">
        <v>0.157</v>
      </c>
      <c r="H110" s="5">
        <v>20</v>
      </c>
      <c r="I110" s="5">
        <v>73.8</v>
      </c>
      <c r="J110" s="5">
        <v>6.35</v>
      </c>
      <c r="K110" s="5">
        <v>1</v>
      </c>
      <c r="L110" s="5">
        <v>3.8</v>
      </c>
      <c r="M110" s="5">
        <v>709478.39</v>
      </c>
      <c r="N110" s="5">
        <v>71294.27</v>
      </c>
    </row>
    <row r="111" spans="1:14">
      <c r="A111" s="3" t="s">
        <v>49</v>
      </c>
      <c r="B111" s="4">
        <v>45689</v>
      </c>
      <c r="C111" s="5" t="s">
        <v>15</v>
      </c>
      <c r="D111" s="5" t="s">
        <v>28</v>
      </c>
      <c r="E111" s="5">
        <v>69411.7</v>
      </c>
      <c r="F111" s="5">
        <v>5493</v>
      </c>
      <c r="G111" s="5">
        <v>0.29199999999999998</v>
      </c>
      <c r="H111" s="5">
        <v>13</v>
      </c>
      <c r="I111" s="5">
        <v>86.5</v>
      </c>
      <c r="J111" s="5">
        <v>6.69</v>
      </c>
      <c r="K111" s="5">
        <v>0</v>
      </c>
      <c r="L111" s="5">
        <v>3.8</v>
      </c>
      <c r="M111" s="5">
        <v>664162.49</v>
      </c>
      <c r="N111" s="5">
        <v>98291.06</v>
      </c>
    </row>
    <row r="112" spans="1:14">
      <c r="A112" s="3" t="s">
        <v>49</v>
      </c>
      <c r="B112" s="4">
        <v>45717</v>
      </c>
      <c r="C112" s="5" t="s">
        <v>15</v>
      </c>
      <c r="D112" s="5" t="s">
        <v>28</v>
      </c>
      <c r="E112" s="5">
        <v>51056.15</v>
      </c>
      <c r="F112" s="5">
        <v>5686</v>
      </c>
      <c r="G112" s="5">
        <v>8.8999999999999996E-2</v>
      </c>
      <c r="H112" s="5">
        <v>13</v>
      </c>
      <c r="I112" s="5">
        <v>89.9</v>
      </c>
      <c r="J112" s="5">
        <v>1.28</v>
      </c>
      <c r="K112" s="5">
        <v>0</v>
      </c>
      <c r="L112" s="5">
        <v>4.2</v>
      </c>
      <c r="M112" s="5">
        <v>633494.21</v>
      </c>
      <c r="N112" s="5">
        <v>105739.47</v>
      </c>
    </row>
    <row r="113" spans="1:14">
      <c r="A113" s="3" t="s">
        <v>49</v>
      </c>
      <c r="B113" s="4">
        <v>45748</v>
      </c>
      <c r="C113" s="5" t="s">
        <v>15</v>
      </c>
      <c r="D113" s="5" t="s">
        <v>28</v>
      </c>
      <c r="E113" s="5">
        <v>52758.01</v>
      </c>
      <c r="F113" s="5">
        <v>4063</v>
      </c>
      <c r="G113" s="5">
        <v>5.7000000000000002E-2</v>
      </c>
      <c r="H113" s="5">
        <v>12</v>
      </c>
      <c r="I113" s="5">
        <v>91.7</v>
      </c>
      <c r="J113" s="5">
        <v>0.92</v>
      </c>
      <c r="K113" s="5">
        <v>0</v>
      </c>
      <c r="L113" s="5">
        <v>3.5</v>
      </c>
      <c r="M113" s="5">
        <v>713611.16</v>
      </c>
      <c r="N113" s="5">
        <v>129717.18</v>
      </c>
    </row>
    <row r="114" spans="1:14">
      <c r="A114" s="3" t="s">
        <v>50</v>
      </c>
      <c r="B114" s="4">
        <v>45658</v>
      </c>
      <c r="C114" s="5" t="s">
        <v>27</v>
      </c>
      <c r="D114" s="5" t="s">
        <v>28</v>
      </c>
      <c r="E114" s="5">
        <v>61426.04</v>
      </c>
      <c r="F114" s="5">
        <v>8966</v>
      </c>
      <c r="G114" s="5">
        <v>0.17299999999999999</v>
      </c>
      <c r="H114" s="5">
        <v>22</v>
      </c>
      <c r="I114" s="5">
        <v>76.400000000000006</v>
      </c>
      <c r="J114" s="5">
        <v>1.05</v>
      </c>
      <c r="K114" s="5">
        <v>0</v>
      </c>
      <c r="L114" s="5">
        <v>3.1</v>
      </c>
      <c r="M114" s="5">
        <v>778397.97</v>
      </c>
      <c r="N114" s="5">
        <v>120044.41</v>
      </c>
    </row>
    <row r="115" spans="1:14">
      <c r="A115" s="3" t="s">
        <v>50</v>
      </c>
      <c r="B115" s="4">
        <v>45689</v>
      </c>
      <c r="C115" s="5" t="s">
        <v>27</v>
      </c>
      <c r="D115" s="5" t="s">
        <v>28</v>
      </c>
      <c r="E115" s="5">
        <v>80176.34</v>
      </c>
      <c r="F115" s="5">
        <v>9489</v>
      </c>
      <c r="G115" s="5">
        <v>0.14199999999999999</v>
      </c>
      <c r="H115" s="5">
        <v>22</v>
      </c>
      <c r="I115" s="5">
        <v>94.3</v>
      </c>
      <c r="J115" s="5">
        <v>2.67</v>
      </c>
      <c r="K115" s="5">
        <v>0</v>
      </c>
      <c r="L115" s="5">
        <v>3.5</v>
      </c>
      <c r="M115" s="5">
        <v>873380.02</v>
      </c>
      <c r="N115" s="5">
        <v>149734.76</v>
      </c>
    </row>
    <row r="116" spans="1:14">
      <c r="A116" s="3" t="s">
        <v>50</v>
      </c>
      <c r="B116" s="4">
        <v>45717</v>
      </c>
      <c r="C116" s="5" t="s">
        <v>27</v>
      </c>
      <c r="D116" s="5" t="s">
        <v>28</v>
      </c>
      <c r="E116" s="5">
        <v>33605.18</v>
      </c>
      <c r="F116" s="5">
        <v>9225</v>
      </c>
      <c r="G116" s="5">
        <v>0.159</v>
      </c>
      <c r="H116" s="5">
        <v>23</v>
      </c>
      <c r="I116" s="5">
        <v>88.4</v>
      </c>
      <c r="J116" s="5">
        <v>5.91</v>
      </c>
      <c r="K116" s="5">
        <v>0</v>
      </c>
      <c r="L116" s="5">
        <v>2.8</v>
      </c>
      <c r="M116" s="5">
        <v>697287.9</v>
      </c>
      <c r="N116" s="5">
        <v>128208.33</v>
      </c>
    </row>
    <row r="117" spans="1:14">
      <c r="A117" s="3" t="s">
        <v>50</v>
      </c>
      <c r="B117" s="4">
        <v>45748</v>
      </c>
      <c r="C117" s="5" t="s">
        <v>27</v>
      </c>
      <c r="D117" s="5" t="s">
        <v>28</v>
      </c>
      <c r="E117" s="5">
        <v>25990.54</v>
      </c>
      <c r="F117" s="5">
        <v>9249</v>
      </c>
      <c r="G117" s="5">
        <v>0.13900000000000001</v>
      </c>
      <c r="H117" s="5">
        <v>23</v>
      </c>
      <c r="I117" s="5">
        <v>92.5</v>
      </c>
      <c r="J117" s="5">
        <v>6.37</v>
      </c>
      <c r="K117" s="5">
        <v>0</v>
      </c>
      <c r="L117" s="5">
        <v>3.3</v>
      </c>
      <c r="M117" s="5">
        <v>718074.79</v>
      </c>
      <c r="N117" s="5">
        <v>115819.87</v>
      </c>
    </row>
    <row r="118" spans="1:14">
      <c r="A118" s="3" t="s">
        <v>51</v>
      </c>
      <c r="B118" s="4">
        <v>45658</v>
      </c>
      <c r="C118" s="5" t="s">
        <v>27</v>
      </c>
      <c r="D118" s="5" t="s">
        <v>16</v>
      </c>
      <c r="E118" s="5">
        <v>43685.14</v>
      </c>
      <c r="F118" s="5">
        <v>7821</v>
      </c>
      <c r="G118" s="5">
        <v>0.19</v>
      </c>
      <c r="H118" s="5">
        <v>17</v>
      </c>
      <c r="I118" s="5">
        <v>91</v>
      </c>
      <c r="J118" s="5">
        <v>2.4900000000000002</v>
      </c>
      <c r="K118" s="5">
        <v>1</v>
      </c>
      <c r="L118" s="5">
        <v>4.7</v>
      </c>
      <c r="M118" s="5">
        <v>714942.43</v>
      </c>
      <c r="N118" s="5">
        <v>94697.71</v>
      </c>
    </row>
    <row r="119" spans="1:14">
      <c r="A119" s="3" t="s">
        <v>51</v>
      </c>
      <c r="B119" s="4">
        <v>45689</v>
      </c>
      <c r="C119" s="5" t="s">
        <v>27</v>
      </c>
      <c r="D119" s="5" t="s">
        <v>16</v>
      </c>
      <c r="E119" s="5">
        <v>57360.01</v>
      </c>
      <c r="F119" s="5">
        <v>8434</v>
      </c>
      <c r="G119" s="5">
        <v>0.151</v>
      </c>
      <c r="H119" s="5">
        <v>19</v>
      </c>
      <c r="I119" s="5">
        <v>84.1</v>
      </c>
      <c r="J119" s="5">
        <v>1.56</v>
      </c>
      <c r="K119" s="5">
        <v>0</v>
      </c>
      <c r="L119" s="5">
        <v>4.7</v>
      </c>
      <c r="M119" s="5">
        <v>820519.04</v>
      </c>
      <c r="N119" s="5">
        <v>99035.88</v>
      </c>
    </row>
    <row r="120" spans="1:14">
      <c r="A120" s="3" t="s">
        <v>51</v>
      </c>
      <c r="B120" s="4">
        <v>45717</v>
      </c>
      <c r="C120" s="5" t="s">
        <v>27</v>
      </c>
      <c r="D120" s="5" t="s">
        <v>16</v>
      </c>
      <c r="E120" s="5">
        <v>42415.47</v>
      </c>
      <c r="F120" s="5">
        <v>8512</v>
      </c>
      <c r="G120" s="5">
        <v>0.13300000000000001</v>
      </c>
      <c r="H120" s="5">
        <v>18</v>
      </c>
      <c r="I120" s="5">
        <v>96.8</v>
      </c>
      <c r="J120" s="5">
        <v>14.95</v>
      </c>
      <c r="K120" s="5">
        <v>0</v>
      </c>
      <c r="L120" s="5">
        <v>4.5999999999999996</v>
      </c>
      <c r="M120" s="5">
        <v>684217.32</v>
      </c>
      <c r="N120" s="5">
        <v>136217.19</v>
      </c>
    </row>
    <row r="121" spans="1:14">
      <c r="A121" s="3" t="s">
        <v>51</v>
      </c>
      <c r="B121" s="4">
        <v>45748</v>
      </c>
      <c r="C121" s="5" t="s">
        <v>27</v>
      </c>
      <c r="D121" s="5" t="s">
        <v>16</v>
      </c>
      <c r="E121" s="5">
        <v>54968.98</v>
      </c>
      <c r="F121" s="5">
        <v>7816</v>
      </c>
      <c r="G121" s="5">
        <v>0.23200000000000001</v>
      </c>
      <c r="H121" s="5">
        <v>19</v>
      </c>
      <c r="I121" s="5">
        <v>95.7</v>
      </c>
      <c r="J121" s="5">
        <v>7.85</v>
      </c>
      <c r="K121" s="5">
        <v>0</v>
      </c>
      <c r="L121" s="5">
        <v>4.7</v>
      </c>
      <c r="M121" s="5">
        <v>735480.19</v>
      </c>
      <c r="N121" s="5">
        <v>88342.11</v>
      </c>
    </row>
    <row r="122" spans="1:14">
      <c r="A122" s="3" t="s">
        <v>52</v>
      </c>
      <c r="B122" s="4">
        <v>45658</v>
      </c>
      <c r="C122" s="5" t="s">
        <v>20</v>
      </c>
      <c r="D122" s="5" t="s">
        <v>18</v>
      </c>
      <c r="E122" s="5">
        <v>43896.13</v>
      </c>
      <c r="F122" s="5">
        <v>3853</v>
      </c>
      <c r="G122" s="5">
        <v>8.7999999999999995E-2</v>
      </c>
      <c r="H122" s="5">
        <v>13</v>
      </c>
      <c r="I122" s="5">
        <v>83</v>
      </c>
      <c r="J122" s="5">
        <v>6.8</v>
      </c>
      <c r="K122" s="5">
        <v>0</v>
      </c>
      <c r="L122" s="5">
        <v>4.4000000000000004</v>
      </c>
      <c r="M122" s="5">
        <v>509484.81</v>
      </c>
      <c r="N122" s="5">
        <v>85742.36</v>
      </c>
    </row>
    <row r="123" spans="1:14">
      <c r="A123" s="3" t="s">
        <v>52</v>
      </c>
      <c r="B123" s="4">
        <v>45689</v>
      </c>
      <c r="C123" s="5" t="s">
        <v>20</v>
      </c>
      <c r="D123" s="5" t="s">
        <v>18</v>
      </c>
      <c r="E123" s="5">
        <v>83044.17</v>
      </c>
      <c r="F123" s="5">
        <v>3694</v>
      </c>
      <c r="G123" s="5">
        <v>0</v>
      </c>
      <c r="H123" s="5">
        <v>14</v>
      </c>
      <c r="I123" s="5">
        <v>89.4</v>
      </c>
      <c r="J123" s="5">
        <v>2.2000000000000002</v>
      </c>
      <c r="K123" s="5">
        <v>0</v>
      </c>
      <c r="L123" s="5">
        <v>3.7</v>
      </c>
      <c r="M123" s="5">
        <v>654317.09</v>
      </c>
      <c r="N123" s="5">
        <v>121446.89</v>
      </c>
    </row>
    <row r="124" spans="1:14">
      <c r="A124" s="3" t="s">
        <v>52</v>
      </c>
      <c r="B124" s="4">
        <v>45717</v>
      </c>
      <c r="C124" s="5" t="s">
        <v>20</v>
      </c>
      <c r="D124" s="5" t="s">
        <v>18</v>
      </c>
      <c r="E124" s="5">
        <v>48396.13</v>
      </c>
      <c r="F124" s="5">
        <v>4423</v>
      </c>
      <c r="G124" s="5">
        <v>6.9000000000000006E-2</v>
      </c>
      <c r="H124" s="5">
        <v>15</v>
      </c>
      <c r="I124" s="5">
        <v>85.7</v>
      </c>
      <c r="J124" s="5">
        <v>1.88</v>
      </c>
      <c r="K124" s="5">
        <v>0</v>
      </c>
      <c r="L124" s="5">
        <v>3.9</v>
      </c>
      <c r="M124" s="5">
        <v>557487.26</v>
      </c>
      <c r="N124" s="5">
        <v>76432.19</v>
      </c>
    </row>
    <row r="125" spans="1:14">
      <c r="A125" s="3" t="s">
        <v>52</v>
      </c>
      <c r="B125" s="4">
        <v>45748</v>
      </c>
      <c r="C125" s="5" t="s">
        <v>20</v>
      </c>
      <c r="D125" s="5" t="s">
        <v>18</v>
      </c>
      <c r="E125" s="5">
        <v>19063.48</v>
      </c>
      <c r="F125" s="5">
        <v>1906</v>
      </c>
      <c r="G125" s="5">
        <v>0.216</v>
      </c>
      <c r="H125" s="5">
        <v>10</v>
      </c>
      <c r="I125" s="5">
        <v>97.8</v>
      </c>
      <c r="J125" s="5">
        <v>15.79</v>
      </c>
      <c r="K125" s="5">
        <v>0</v>
      </c>
      <c r="L125" s="5">
        <v>4.4000000000000004</v>
      </c>
      <c r="M125" s="5">
        <v>441275.42</v>
      </c>
      <c r="N125" s="5">
        <v>58234.87</v>
      </c>
    </row>
    <row r="126" spans="1:14">
      <c r="A126" s="3" t="s">
        <v>53</v>
      </c>
      <c r="B126" s="4">
        <v>45658</v>
      </c>
      <c r="C126" s="5" t="s">
        <v>24</v>
      </c>
      <c r="D126" s="5" t="s">
        <v>18</v>
      </c>
      <c r="E126" s="5">
        <v>61541.21</v>
      </c>
      <c r="F126" s="5">
        <v>10396</v>
      </c>
      <c r="G126" s="5">
        <v>0.123</v>
      </c>
      <c r="H126" s="5">
        <v>25</v>
      </c>
      <c r="I126" s="5">
        <v>88.1</v>
      </c>
      <c r="J126" s="5">
        <v>2.34</v>
      </c>
      <c r="K126" s="5">
        <v>1</v>
      </c>
      <c r="L126" s="5">
        <v>4.8</v>
      </c>
      <c r="M126" s="5">
        <v>914544.17</v>
      </c>
      <c r="N126" s="5">
        <v>79831.73</v>
      </c>
    </row>
    <row r="127" spans="1:14">
      <c r="A127" s="3" t="s">
        <v>53</v>
      </c>
      <c r="B127" s="4">
        <v>45689</v>
      </c>
      <c r="C127" s="5" t="s">
        <v>24</v>
      </c>
      <c r="D127" s="5" t="s">
        <v>18</v>
      </c>
      <c r="E127" s="5">
        <v>44747</v>
      </c>
      <c r="F127" s="5">
        <v>11076</v>
      </c>
      <c r="G127" s="5">
        <v>0.17599999999999999</v>
      </c>
      <c r="H127" s="5">
        <v>27</v>
      </c>
      <c r="I127" s="5">
        <v>98.3</v>
      </c>
      <c r="J127" s="5">
        <v>0.54</v>
      </c>
      <c r="K127" s="5">
        <v>0</v>
      </c>
      <c r="L127" s="5">
        <v>4.4000000000000004</v>
      </c>
      <c r="M127" s="5">
        <v>842439.67</v>
      </c>
      <c r="N127" s="5">
        <v>169983.63</v>
      </c>
    </row>
    <row r="128" spans="1:14">
      <c r="A128" s="3" t="s">
        <v>53</v>
      </c>
      <c r="B128" s="4">
        <v>45717</v>
      </c>
      <c r="C128" s="5" t="s">
        <v>24</v>
      </c>
      <c r="D128" s="5" t="s">
        <v>18</v>
      </c>
      <c r="E128" s="5">
        <v>56517.9</v>
      </c>
      <c r="F128" s="5">
        <v>9574</v>
      </c>
      <c r="G128" s="5">
        <v>0.20399999999999999</v>
      </c>
      <c r="H128" s="5">
        <v>20</v>
      </c>
      <c r="I128" s="5">
        <v>88.2</v>
      </c>
      <c r="J128" s="5">
        <v>5.37</v>
      </c>
      <c r="K128" s="5">
        <v>1</v>
      </c>
      <c r="L128" s="5">
        <v>4.9000000000000004</v>
      </c>
      <c r="M128" s="5">
        <v>842157.92</v>
      </c>
      <c r="N128" s="5">
        <v>107348.22</v>
      </c>
    </row>
    <row r="129" spans="1:14">
      <c r="A129" s="3" t="s">
        <v>53</v>
      </c>
      <c r="B129" s="4">
        <v>45748</v>
      </c>
      <c r="C129" s="5" t="s">
        <v>24</v>
      </c>
      <c r="D129" s="5" t="s">
        <v>18</v>
      </c>
      <c r="E129" s="5">
        <v>37828.5</v>
      </c>
      <c r="F129" s="5">
        <v>8221</v>
      </c>
      <c r="G129" s="5">
        <v>9.6000000000000002E-2</v>
      </c>
      <c r="H129" s="5">
        <v>19</v>
      </c>
      <c r="I129" s="5">
        <v>81.5</v>
      </c>
      <c r="J129" s="5">
        <v>3.19</v>
      </c>
      <c r="K129" s="5">
        <v>0</v>
      </c>
      <c r="L129" s="5">
        <v>4.8</v>
      </c>
      <c r="M129" s="5">
        <v>697155.3</v>
      </c>
      <c r="N129" s="5">
        <v>136408.54</v>
      </c>
    </row>
    <row r="130" spans="1:14">
      <c r="A130" s="3" t="s">
        <v>54</v>
      </c>
      <c r="B130" s="4">
        <v>45658</v>
      </c>
      <c r="C130" s="5" t="s">
        <v>15</v>
      </c>
      <c r="D130" s="5" t="s">
        <v>18</v>
      </c>
      <c r="E130" s="5">
        <v>66250.53</v>
      </c>
      <c r="F130" s="5">
        <v>10618</v>
      </c>
      <c r="G130" s="5">
        <v>0.14199999999999999</v>
      </c>
      <c r="H130" s="5">
        <v>27</v>
      </c>
      <c r="I130" s="5">
        <v>88.3</v>
      </c>
      <c r="J130" s="5">
        <v>1.1000000000000001</v>
      </c>
      <c r="K130" s="5">
        <v>1</v>
      </c>
      <c r="L130" s="5">
        <v>4.4000000000000004</v>
      </c>
      <c r="M130" s="5">
        <v>849018.3</v>
      </c>
      <c r="N130" s="5">
        <v>149035.13</v>
      </c>
    </row>
    <row r="131" spans="1:14">
      <c r="A131" s="3" t="s">
        <v>54</v>
      </c>
      <c r="B131" s="4">
        <v>45689</v>
      </c>
      <c r="C131" s="5" t="s">
        <v>15</v>
      </c>
      <c r="D131" s="5" t="s">
        <v>18</v>
      </c>
      <c r="E131" s="5">
        <v>68410.929999999993</v>
      </c>
      <c r="F131" s="5">
        <v>10596</v>
      </c>
      <c r="G131" s="5">
        <v>0.20699999999999999</v>
      </c>
      <c r="H131" s="5">
        <v>25</v>
      </c>
      <c r="I131" s="5">
        <v>81.2</v>
      </c>
      <c r="J131" s="5">
        <v>0.21</v>
      </c>
      <c r="K131" s="5">
        <v>0</v>
      </c>
      <c r="L131" s="5">
        <v>4</v>
      </c>
      <c r="M131" s="5">
        <v>801830.35</v>
      </c>
      <c r="N131" s="5">
        <v>114875.32</v>
      </c>
    </row>
    <row r="132" spans="1:14">
      <c r="A132" s="3" t="s">
        <v>54</v>
      </c>
      <c r="B132" s="4">
        <v>45717</v>
      </c>
      <c r="C132" s="5" t="s">
        <v>15</v>
      </c>
      <c r="D132" s="5" t="s">
        <v>18</v>
      </c>
      <c r="E132" s="5">
        <v>50735.63</v>
      </c>
      <c r="F132" s="5">
        <v>9619</v>
      </c>
      <c r="G132" s="5">
        <v>0.14399999999999999</v>
      </c>
      <c r="H132" s="5">
        <v>19</v>
      </c>
      <c r="I132" s="5">
        <v>93.8</v>
      </c>
      <c r="J132" s="5">
        <v>5.12</v>
      </c>
      <c r="K132" s="5">
        <v>1</v>
      </c>
      <c r="L132" s="5">
        <v>4.5</v>
      </c>
      <c r="M132" s="5">
        <v>725235.28</v>
      </c>
      <c r="N132" s="5">
        <v>121632.24</v>
      </c>
    </row>
    <row r="133" spans="1:14">
      <c r="A133" s="3" t="s">
        <v>54</v>
      </c>
      <c r="B133" s="4">
        <v>45748</v>
      </c>
      <c r="C133" s="5" t="s">
        <v>15</v>
      </c>
      <c r="D133" s="5" t="s">
        <v>18</v>
      </c>
      <c r="E133" s="5">
        <v>66455.8</v>
      </c>
      <c r="F133" s="5">
        <v>10836</v>
      </c>
      <c r="G133" s="5">
        <v>8.8999999999999996E-2</v>
      </c>
      <c r="H133" s="5">
        <v>25</v>
      </c>
      <c r="I133" s="5">
        <v>85</v>
      </c>
      <c r="J133" s="5">
        <v>9.77</v>
      </c>
      <c r="K133" s="5">
        <v>0</v>
      </c>
      <c r="L133" s="5">
        <v>4.5</v>
      </c>
      <c r="M133" s="5">
        <v>811452.72</v>
      </c>
      <c r="N133" s="5">
        <v>131325.67000000001</v>
      </c>
    </row>
    <row r="134" spans="1:14">
      <c r="A134" s="3" t="s">
        <v>55</v>
      </c>
      <c r="B134" s="4">
        <v>45658</v>
      </c>
      <c r="C134" s="5" t="s">
        <v>20</v>
      </c>
      <c r="D134" s="5" t="s">
        <v>18</v>
      </c>
      <c r="E134" s="5">
        <v>70276.28</v>
      </c>
      <c r="F134" s="5">
        <v>3043</v>
      </c>
      <c r="G134" s="5">
        <v>7.9000000000000001E-2</v>
      </c>
      <c r="H134" s="5">
        <v>9</v>
      </c>
      <c r="I134" s="5">
        <v>87.9</v>
      </c>
      <c r="J134" s="5">
        <v>3.77</v>
      </c>
      <c r="K134" s="5">
        <v>0</v>
      </c>
      <c r="L134" s="5">
        <v>4.4000000000000004</v>
      </c>
      <c r="M134" s="5">
        <v>527300.13</v>
      </c>
      <c r="N134" s="5">
        <v>84197.87</v>
      </c>
    </row>
    <row r="135" spans="1:14">
      <c r="A135" s="3" t="s">
        <v>55</v>
      </c>
      <c r="B135" s="4">
        <v>45689</v>
      </c>
      <c r="C135" s="5" t="s">
        <v>20</v>
      </c>
      <c r="D135" s="5" t="s">
        <v>18</v>
      </c>
      <c r="E135" s="5">
        <v>22071.64</v>
      </c>
      <c r="F135" s="5">
        <v>1814</v>
      </c>
      <c r="G135" s="5">
        <v>0.19600000000000001</v>
      </c>
      <c r="H135" s="5">
        <v>8</v>
      </c>
      <c r="I135" s="5">
        <v>81.099999999999994</v>
      </c>
      <c r="J135" s="5">
        <v>0.78</v>
      </c>
      <c r="K135" s="5">
        <v>0</v>
      </c>
      <c r="M135" s="5">
        <v>400831.65</v>
      </c>
      <c r="N135" s="5">
        <v>70979.31</v>
      </c>
    </row>
    <row r="136" spans="1:14">
      <c r="A136" s="3" t="s">
        <v>55</v>
      </c>
      <c r="B136" s="4">
        <v>45717</v>
      </c>
      <c r="C136" s="5" t="s">
        <v>20</v>
      </c>
      <c r="D136" s="5" t="s">
        <v>18</v>
      </c>
      <c r="E136" s="5">
        <v>52285.45</v>
      </c>
      <c r="F136" s="5">
        <v>3618</v>
      </c>
      <c r="G136" s="5">
        <v>8.5999999999999993E-2</v>
      </c>
      <c r="H136" s="5">
        <v>11</v>
      </c>
      <c r="I136" s="5">
        <v>95.6</v>
      </c>
      <c r="J136" s="5">
        <v>5.17</v>
      </c>
      <c r="K136" s="5">
        <v>1</v>
      </c>
      <c r="L136" s="5">
        <v>4.4000000000000004</v>
      </c>
      <c r="M136" s="5">
        <v>593247.25</v>
      </c>
      <c r="N136" s="5">
        <v>81240.289999999994</v>
      </c>
    </row>
    <row r="137" spans="1:14">
      <c r="A137" s="3" t="s">
        <v>55</v>
      </c>
      <c r="B137" s="4">
        <v>45748</v>
      </c>
      <c r="C137" s="5" t="s">
        <v>20</v>
      </c>
      <c r="D137" s="5" t="s">
        <v>18</v>
      </c>
      <c r="E137" s="5">
        <v>70366.759999999995</v>
      </c>
      <c r="F137" s="5">
        <v>1963</v>
      </c>
      <c r="G137" s="5">
        <v>0.182</v>
      </c>
      <c r="H137" s="5">
        <v>8</v>
      </c>
      <c r="I137" s="5">
        <v>89.8</v>
      </c>
      <c r="J137" s="5">
        <v>3.2</v>
      </c>
      <c r="K137" s="5">
        <v>0</v>
      </c>
      <c r="L137" s="5">
        <v>4.5999999999999996</v>
      </c>
      <c r="M137" s="5">
        <v>529075.94999999995</v>
      </c>
      <c r="N137" s="5">
        <v>95978.83</v>
      </c>
    </row>
    <row r="138" spans="1:14">
      <c r="A138" s="3" t="s">
        <v>56</v>
      </c>
      <c r="B138" s="4">
        <v>45658</v>
      </c>
      <c r="C138" s="5" t="s">
        <v>24</v>
      </c>
      <c r="D138" s="5" t="s">
        <v>16</v>
      </c>
      <c r="E138" s="5">
        <v>71320.66</v>
      </c>
      <c r="F138" s="5">
        <v>7888</v>
      </c>
      <c r="G138" s="5">
        <v>4.8000000000000001E-2</v>
      </c>
      <c r="H138" s="5">
        <v>20</v>
      </c>
      <c r="I138" s="5">
        <v>78.099999999999994</v>
      </c>
      <c r="J138" s="5">
        <v>3.4</v>
      </c>
      <c r="K138" s="5">
        <v>0</v>
      </c>
      <c r="M138" s="5">
        <v>633638.03</v>
      </c>
      <c r="N138" s="5">
        <v>99402.01</v>
      </c>
    </row>
    <row r="139" spans="1:14">
      <c r="A139" s="3" t="s">
        <v>56</v>
      </c>
      <c r="B139" s="4">
        <v>45689</v>
      </c>
      <c r="C139" s="5" t="s">
        <v>24</v>
      </c>
      <c r="D139" s="5" t="s">
        <v>16</v>
      </c>
      <c r="E139" s="5">
        <v>75109.67</v>
      </c>
      <c r="F139" s="5">
        <v>6244</v>
      </c>
      <c r="G139" s="5">
        <v>7.9000000000000001E-2</v>
      </c>
      <c r="H139" s="5">
        <v>15</v>
      </c>
      <c r="I139" s="5">
        <v>96.3</v>
      </c>
      <c r="J139" s="5">
        <v>7.38</v>
      </c>
      <c r="K139" s="5">
        <v>0</v>
      </c>
      <c r="L139" s="5">
        <v>3.7</v>
      </c>
      <c r="M139" s="5">
        <v>743348.84</v>
      </c>
      <c r="N139" s="5">
        <v>104186.09</v>
      </c>
    </row>
    <row r="140" spans="1:14">
      <c r="A140" s="3" t="s">
        <v>56</v>
      </c>
      <c r="B140" s="4">
        <v>45717</v>
      </c>
      <c r="C140" s="5" t="s">
        <v>24</v>
      </c>
      <c r="D140" s="5" t="s">
        <v>16</v>
      </c>
      <c r="E140" s="5">
        <v>69779</v>
      </c>
      <c r="F140" s="5">
        <v>6544</v>
      </c>
      <c r="G140" s="5">
        <v>0.152</v>
      </c>
      <c r="H140" s="5">
        <v>18</v>
      </c>
      <c r="I140" s="5">
        <v>90.2</v>
      </c>
      <c r="J140" s="5">
        <v>0.85</v>
      </c>
      <c r="K140" s="5">
        <v>1</v>
      </c>
      <c r="L140" s="5">
        <v>3.3</v>
      </c>
      <c r="M140" s="5">
        <v>758827.64</v>
      </c>
      <c r="N140" s="5">
        <v>161439.48000000001</v>
      </c>
    </row>
    <row r="141" spans="1:14">
      <c r="A141" s="3" t="s">
        <v>56</v>
      </c>
      <c r="B141" s="4">
        <v>45748</v>
      </c>
      <c r="C141" s="5" t="s">
        <v>24</v>
      </c>
      <c r="D141" s="5" t="s">
        <v>16</v>
      </c>
      <c r="E141" s="5">
        <v>44211.95</v>
      </c>
      <c r="F141" s="5">
        <v>5465</v>
      </c>
      <c r="G141" s="5">
        <v>0.187</v>
      </c>
      <c r="H141" s="5">
        <v>12</v>
      </c>
      <c r="I141" s="5">
        <v>90</v>
      </c>
      <c r="J141" s="5">
        <v>2.89</v>
      </c>
      <c r="K141" s="5">
        <v>0</v>
      </c>
      <c r="L141" s="5">
        <v>3.6</v>
      </c>
      <c r="M141" s="5">
        <v>646559.71</v>
      </c>
      <c r="N141" s="5">
        <v>97981.75</v>
      </c>
    </row>
    <row r="142" spans="1:14">
      <c r="A142" s="3" t="s">
        <v>57</v>
      </c>
      <c r="B142" s="4">
        <v>45658</v>
      </c>
      <c r="C142" s="5" t="s">
        <v>27</v>
      </c>
      <c r="D142" s="5" t="s">
        <v>18</v>
      </c>
      <c r="E142" s="5">
        <v>51430.31</v>
      </c>
      <c r="F142" s="5">
        <v>6427</v>
      </c>
      <c r="G142" s="5">
        <v>0.23400000000000001</v>
      </c>
      <c r="H142" s="5">
        <v>14</v>
      </c>
      <c r="I142" s="5">
        <v>88.8</v>
      </c>
      <c r="J142" s="5">
        <v>0.77</v>
      </c>
      <c r="K142" s="5">
        <v>0</v>
      </c>
      <c r="L142" s="5">
        <v>4.0999999999999996</v>
      </c>
      <c r="M142" s="5">
        <v>715890.53</v>
      </c>
      <c r="N142" s="5">
        <v>109032.15</v>
      </c>
    </row>
    <row r="143" spans="1:14">
      <c r="A143" s="3" t="s">
        <v>57</v>
      </c>
      <c r="B143" s="4">
        <v>45689</v>
      </c>
      <c r="C143" s="5" t="s">
        <v>27</v>
      </c>
      <c r="D143" s="5" t="s">
        <v>18</v>
      </c>
      <c r="E143" s="5">
        <v>45706.49</v>
      </c>
      <c r="F143" s="5">
        <v>6704</v>
      </c>
      <c r="G143" s="5">
        <v>3.7999999999999999E-2</v>
      </c>
      <c r="H143" s="5">
        <v>15</v>
      </c>
      <c r="I143" s="5">
        <v>94.2</v>
      </c>
      <c r="J143" s="5">
        <v>2.92</v>
      </c>
      <c r="K143" s="5">
        <v>0</v>
      </c>
      <c r="L143" s="5">
        <v>4.2</v>
      </c>
      <c r="M143" s="5">
        <v>715097.57</v>
      </c>
      <c r="N143" s="5">
        <v>151875.85999999999</v>
      </c>
    </row>
    <row r="144" spans="1:14">
      <c r="A144" s="3" t="s">
        <v>57</v>
      </c>
      <c r="B144" s="4">
        <v>45717</v>
      </c>
      <c r="C144" s="5" t="s">
        <v>27</v>
      </c>
      <c r="D144" s="5" t="s">
        <v>18</v>
      </c>
      <c r="E144" s="5">
        <v>44034.6</v>
      </c>
      <c r="F144" s="5">
        <v>5645</v>
      </c>
      <c r="G144" s="5">
        <v>6.9000000000000006E-2</v>
      </c>
      <c r="H144" s="5">
        <v>18</v>
      </c>
      <c r="I144" s="5">
        <v>88.5</v>
      </c>
      <c r="J144" s="5">
        <v>3.07</v>
      </c>
      <c r="K144" s="5">
        <v>0</v>
      </c>
      <c r="L144" s="5">
        <v>3.8</v>
      </c>
      <c r="M144" s="5">
        <v>682639.28</v>
      </c>
      <c r="N144" s="5">
        <v>77557.53</v>
      </c>
    </row>
    <row r="145" spans="1:14">
      <c r="A145" s="3" t="s">
        <v>57</v>
      </c>
      <c r="B145" s="4">
        <v>45748</v>
      </c>
      <c r="C145" s="5" t="s">
        <v>27</v>
      </c>
      <c r="D145" s="5" t="s">
        <v>18</v>
      </c>
      <c r="E145" s="5">
        <v>50198.12</v>
      </c>
      <c r="F145" s="5">
        <v>6089</v>
      </c>
      <c r="G145" s="5">
        <v>0.182</v>
      </c>
      <c r="H145" s="5">
        <v>19</v>
      </c>
      <c r="I145" s="5">
        <v>94</v>
      </c>
      <c r="J145" s="5">
        <v>9.6999999999999993</v>
      </c>
      <c r="K145" s="5">
        <v>0</v>
      </c>
      <c r="L145" s="5">
        <v>3.9</v>
      </c>
      <c r="M145" s="5">
        <v>695098.51</v>
      </c>
      <c r="N145" s="5">
        <v>108192.75</v>
      </c>
    </row>
    <row r="146" spans="1:14">
      <c r="A146" s="3" t="s">
        <v>58</v>
      </c>
      <c r="B146" s="4">
        <v>45658</v>
      </c>
      <c r="C146" s="5" t="s">
        <v>20</v>
      </c>
      <c r="D146" s="5" t="s">
        <v>16</v>
      </c>
      <c r="E146" s="5">
        <v>70488.2</v>
      </c>
      <c r="F146" s="5">
        <v>4312</v>
      </c>
      <c r="G146" s="5">
        <v>0.16900000000000001</v>
      </c>
      <c r="H146" s="5">
        <v>12</v>
      </c>
      <c r="I146" s="5">
        <v>90.2</v>
      </c>
      <c r="J146" s="5">
        <v>3.71</v>
      </c>
      <c r="K146" s="5">
        <v>0</v>
      </c>
      <c r="L146" s="5">
        <v>3.2</v>
      </c>
      <c r="M146" s="5">
        <v>577732.56999999995</v>
      </c>
      <c r="N146" s="5">
        <v>93804.27</v>
      </c>
    </row>
    <row r="147" spans="1:14">
      <c r="A147" s="3" t="s">
        <v>58</v>
      </c>
      <c r="B147" s="4">
        <v>45689</v>
      </c>
      <c r="C147" s="5" t="s">
        <v>20</v>
      </c>
      <c r="D147" s="5" t="s">
        <v>16</v>
      </c>
      <c r="E147" s="5">
        <v>50909.27</v>
      </c>
      <c r="F147" s="5">
        <v>3152</v>
      </c>
      <c r="G147" s="5">
        <v>0.06</v>
      </c>
      <c r="H147" s="5">
        <v>13</v>
      </c>
      <c r="I147" s="5">
        <v>93.7</v>
      </c>
      <c r="J147" s="5">
        <v>10.79</v>
      </c>
      <c r="K147" s="5">
        <v>0</v>
      </c>
      <c r="L147" s="5">
        <v>3.5</v>
      </c>
      <c r="M147" s="5">
        <v>537058.32999999996</v>
      </c>
      <c r="N147" s="5">
        <v>93555.71</v>
      </c>
    </row>
    <row r="148" spans="1:14">
      <c r="A148" s="3" t="s">
        <v>58</v>
      </c>
      <c r="B148" s="4">
        <v>45717</v>
      </c>
      <c r="C148" s="5" t="s">
        <v>20</v>
      </c>
      <c r="D148" s="5" t="s">
        <v>16</v>
      </c>
      <c r="E148" s="5">
        <v>53351.7</v>
      </c>
      <c r="F148" s="5">
        <v>4259</v>
      </c>
      <c r="G148" s="5">
        <v>0.156</v>
      </c>
      <c r="H148" s="5">
        <v>15</v>
      </c>
      <c r="I148" s="5">
        <v>93.7</v>
      </c>
      <c r="J148" s="5">
        <v>6.03</v>
      </c>
      <c r="K148" s="5">
        <v>0</v>
      </c>
      <c r="L148" s="5">
        <v>3.4</v>
      </c>
      <c r="M148" s="5">
        <v>601568.87</v>
      </c>
      <c r="N148" s="5">
        <v>91634.82</v>
      </c>
    </row>
    <row r="149" spans="1:14">
      <c r="A149" s="3" t="s">
        <v>58</v>
      </c>
      <c r="B149" s="4">
        <v>45748</v>
      </c>
      <c r="C149" s="5" t="s">
        <v>20</v>
      </c>
      <c r="D149" s="5" t="s">
        <v>16</v>
      </c>
      <c r="E149" s="5">
        <v>60322.400000000001</v>
      </c>
      <c r="F149" s="5">
        <v>3350</v>
      </c>
      <c r="G149" s="5">
        <v>0.108</v>
      </c>
      <c r="H149" s="5">
        <v>12</v>
      </c>
      <c r="I149" s="5">
        <v>89.4</v>
      </c>
      <c r="J149" s="5">
        <v>4.92</v>
      </c>
      <c r="K149" s="5">
        <v>0</v>
      </c>
      <c r="L149" s="5">
        <v>3.4</v>
      </c>
      <c r="M149" s="5">
        <v>570964.84</v>
      </c>
      <c r="N149" s="5">
        <v>81331.070000000007</v>
      </c>
    </row>
    <row r="150" spans="1:14">
      <c r="A150" s="3" t="s">
        <v>59</v>
      </c>
      <c r="B150" s="4">
        <v>45658</v>
      </c>
      <c r="C150" s="5" t="s">
        <v>24</v>
      </c>
      <c r="D150" s="5" t="s">
        <v>28</v>
      </c>
      <c r="E150" s="5">
        <v>51575.68</v>
      </c>
      <c r="F150" s="5">
        <v>5329</v>
      </c>
      <c r="G150" s="5">
        <v>4.7E-2</v>
      </c>
      <c r="H150" s="5">
        <v>17</v>
      </c>
      <c r="I150" s="5">
        <v>88.1</v>
      </c>
      <c r="J150" s="5">
        <v>19.78</v>
      </c>
      <c r="K150" s="5">
        <v>0</v>
      </c>
      <c r="L150" s="5">
        <v>3.8</v>
      </c>
      <c r="M150" s="5">
        <v>614024.91</v>
      </c>
      <c r="N150" s="5">
        <v>84828.93</v>
      </c>
    </row>
    <row r="151" spans="1:14">
      <c r="A151" s="3" t="s">
        <v>59</v>
      </c>
      <c r="B151" s="4">
        <v>45689</v>
      </c>
      <c r="C151" s="5" t="s">
        <v>24</v>
      </c>
      <c r="D151" s="5" t="s">
        <v>28</v>
      </c>
      <c r="E151" s="5">
        <v>43319.94</v>
      </c>
      <c r="F151" s="5">
        <v>6551</v>
      </c>
      <c r="G151" s="5">
        <v>4.3999999999999997E-2</v>
      </c>
      <c r="H151" s="5">
        <v>13</v>
      </c>
      <c r="I151" s="5">
        <v>99</v>
      </c>
      <c r="J151" s="5">
        <v>5.45</v>
      </c>
      <c r="K151" s="5">
        <v>0</v>
      </c>
      <c r="L151" s="5">
        <v>4.0999999999999996</v>
      </c>
      <c r="M151" s="5">
        <v>712868.35</v>
      </c>
      <c r="N151" s="5">
        <v>133650.51</v>
      </c>
    </row>
    <row r="152" spans="1:14">
      <c r="A152" s="3" t="s">
        <v>59</v>
      </c>
      <c r="B152" s="4">
        <v>45717</v>
      </c>
      <c r="C152" s="5" t="s">
        <v>24</v>
      </c>
      <c r="D152" s="5" t="s">
        <v>28</v>
      </c>
      <c r="E152" s="5">
        <v>47093.55</v>
      </c>
      <c r="F152" s="5">
        <v>5550</v>
      </c>
      <c r="G152" s="5">
        <v>0.1</v>
      </c>
      <c r="H152" s="5">
        <v>12</v>
      </c>
      <c r="I152" s="5">
        <v>95</v>
      </c>
      <c r="J152" s="5">
        <v>2.33</v>
      </c>
      <c r="K152" s="5">
        <v>1</v>
      </c>
      <c r="L152" s="5">
        <v>3.7</v>
      </c>
      <c r="M152" s="5">
        <v>696744.15</v>
      </c>
      <c r="N152" s="5">
        <v>152230.09</v>
      </c>
    </row>
    <row r="153" spans="1:14">
      <c r="A153" s="3" t="s">
        <v>59</v>
      </c>
      <c r="B153" s="4">
        <v>45748</v>
      </c>
      <c r="C153" s="5" t="s">
        <v>24</v>
      </c>
      <c r="D153" s="5" t="s">
        <v>28</v>
      </c>
      <c r="E153" s="5">
        <v>71855.09</v>
      </c>
      <c r="F153" s="5">
        <v>5911</v>
      </c>
      <c r="G153" s="5">
        <v>0.19700000000000001</v>
      </c>
      <c r="H153" s="5">
        <v>15</v>
      </c>
      <c r="I153" s="5">
        <v>94.3</v>
      </c>
      <c r="J153" s="5">
        <v>3.55</v>
      </c>
      <c r="K153" s="5">
        <v>0</v>
      </c>
      <c r="L153" s="5">
        <v>4.0999999999999996</v>
      </c>
      <c r="M153" s="5">
        <v>725847.99</v>
      </c>
      <c r="N153" s="5">
        <v>122698.73</v>
      </c>
    </row>
    <row r="154" spans="1:14">
      <c r="A154" s="3" t="s">
        <v>60</v>
      </c>
      <c r="B154" s="4">
        <v>45658</v>
      </c>
      <c r="C154" s="5" t="s">
        <v>15</v>
      </c>
      <c r="D154" s="5" t="s">
        <v>18</v>
      </c>
      <c r="E154" s="5">
        <v>75645.23</v>
      </c>
      <c r="F154" s="5">
        <v>9674</v>
      </c>
      <c r="G154" s="5">
        <v>0.23400000000000001</v>
      </c>
      <c r="H154" s="5">
        <v>21</v>
      </c>
      <c r="I154" s="5">
        <v>87.4</v>
      </c>
      <c r="J154" s="5">
        <v>0.2</v>
      </c>
      <c r="K154" s="5">
        <v>0</v>
      </c>
      <c r="L154" s="5">
        <v>4.5</v>
      </c>
      <c r="M154" s="5">
        <v>785028.25</v>
      </c>
      <c r="N154" s="5">
        <v>110726.44</v>
      </c>
    </row>
    <row r="155" spans="1:14">
      <c r="A155" s="3" t="s">
        <v>60</v>
      </c>
      <c r="B155" s="4">
        <v>45689</v>
      </c>
      <c r="C155" s="5" t="s">
        <v>15</v>
      </c>
      <c r="D155" s="5" t="s">
        <v>18</v>
      </c>
      <c r="E155" s="5">
        <v>64374.75</v>
      </c>
      <c r="F155" s="5">
        <v>6740</v>
      </c>
      <c r="G155" s="5">
        <v>0.16900000000000001</v>
      </c>
      <c r="H155" s="5">
        <v>18</v>
      </c>
      <c r="I155" s="5">
        <v>87</v>
      </c>
      <c r="J155" s="5">
        <v>2.09</v>
      </c>
      <c r="K155" s="5">
        <v>0</v>
      </c>
      <c r="L155" s="5">
        <v>4.2</v>
      </c>
      <c r="M155" s="5">
        <v>698492.67</v>
      </c>
      <c r="N155" s="5">
        <v>117319.32</v>
      </c>
    </row>
    <row r="156" spans="1:14">
      <c r="A156" s="3" t="s">
        <v>60</v>
      </c>
      <c r="B156" s="4">
        <v>45717</v>
      </c>
      <c r="C156" s="5" t="s">
        <v>15</v>
      </c>
      <c r="D156" s="5" t="s">
        <v>18</v>
      </c>
      <c r="E156" s="5">
        <v>61433.84</v>
      </c>
      <c r="F156" s="5">
        <v>7745</v>
      </c>
      <c r="G156" s="5">
        <v>0.18</v>
      </c>
      <c r="H156" s="5">
        <v>16</v>
      </c>
      <c r="I156" s="5">
        <v>90.5</v>
      </c>
      <c r="J156" s="5">
        <v>2.2599999999999998</v>
      </c>
      <c r="K156" s="5">
        <v>0</v>
      </c>
      <c r="L156" s="5">
        <v>4.2</v>
      </c>
      <c r="M156" s="5">
        <v>685830.24</v>
      </c>
      <c r="N156" s="5">
        <v>128736.18</v>
      </c>
    </row>
    <row r="157" spans="1:14">
      <c r="A157" s="3" t="s">
        <v>60</v>
      </c>
      <c r="B157" s="4">
        <v>45748</v>
      </c>
      <c r="C157" s="5" t="s">
        <v>15</v>
      </c>
      <c r="D157" s="5" t="s">
        <v>18</v>
      </c>
      <c r="E157" s="5">
        <v>42698.14</v>
      </c>
      <c r="F157" s="5">
        <v>7693</v>
      </c>
      <c r="G157" s="5">
        <v>0.187</v>
      </c>
      <c r="H157" s="5">
        <v>19</v>
      </c>
      <c r="I157" s="5">
        <v>90.1</v>
      </c>
      <c r="J157" s="5">
        <v>0.44</v>
      </c>
      <c r="K157" s="5">
        <v>0</v>
      </c>
      <c r="L157" s="5">
        <v>4.4000000000000004</v>
      </c>
      <c r="M157" s="5">
        <v>702318.94</v>
      </c>
      <c r="N157" s="5">
        <v>112829.29</v>
      </c>
    </row>
    <row r="158" spans="1:14">
      <c r="A158" s="3" t="s">
        <v>61</v>
      </c>
      <c r="B158" s="4">
        <v>45658</v>
      </c>
      <c r="C158" s="5" t="s">
        <v>20</v>
      </c>
      <c r="D158" s="5" t="s">
        <v>28</v>
      </c>
      <c r="E158" s="5">
        <v>86883.31</v>
      </c>
      <c r="F158" s="5">
        <v>6424</v>
      </c>
      <c r="G158" s="5">
        <v>5.7000000000000002E-2</v>
      </c>
      <c r="H158" s="5">
        <v>19</v>
      </c>
      <c r="I158" s="5">
        <v>85.2</v>
      </c>
      <c r="J158" s="5">
        <v>3.08</v>
      </c>
      <c r="K158" s="5">
        <v>0</v>
      </c>
      <c r="L158" s="5">
        <v>3.9</v>
      </c>
      <c r="M158" s="5">
        <v>700078.32</v>
      </c>
      <c r="N158" s="5">
        <v>123707.58</v>
      </c>
    </row>
    <row r="159" spans="1:14">
      <c r="A159" s="3" t="s">
        <v>61</v>
      </c>
      <c r="B159" s="4">
        <v>45689</v>
      </c>
      <c r="C159" s="5" t="s">
        <v>20</v>
      </c>
      <c r="D159" s="5" t="s">
        <v>28</v>
      </c>
      <c r="E159" s="5">
        <v>41863.08</v>
      </c>
      <c r="F159" s="5">
        <v>5400</v>
      </c>
      <c r="G159" s="5">
        <v>0.114</v>
      </c>
      <c r="H159" s="5">
        <v>11</v>
      </c>
      <c r="I159" s="5">
        <v>91.6</v>
      </c>
      <c r="J159" s="5">
        <v>7.99</v>
      </c>
      <c r="K159" s="5">
        <v>0</v>
      </c>
      <c r="L159" s="5">
        <v>3</v>
      </c>
      <c r="M159" s="5">
        <v>602002.31999999995</v>
      </c>
      <c r="N159" s="5">
        <v>110453.28</v>
      </c>
    </row>
    <row r="160" spans="1:14">
      <c r="A160" s="3" t="s">
        <v>61</v>
      </c>
      <c r="B160" s="4">
        <v>45717</v>
      </c>
      <c r="C160" s="5" t="s">
        <v>20</v>
      </c>
      <c r="D160" s="5" t="s">
        <v>28</v>
      </c>
      <c r="E160" s="5">
        <v>56918.16</v>
      </c>
      <c r="F160" s="5">
        <v>7015</v>
      </c>
      <c r="G160" s="5">
        <v>0.158</v>
      </c>
      <c r="H160" s="5">
        <v>18</v>
      </c>
      <c r="I160" s="5">
        <v>74.2</v>
      </c>
      <c r="J160" s="5">
        <v>0.2</v>
      </c>
      <c r="K160" s="5">
        <v>0</v>
      </c>
      <c r="L160" s="5">
        <v>3.4</v>
      </c>
      <c r="M160" s="5">
        <v>724216.07</v>
      </c>
      <c r="N160" s="5">
        <v>100627.56</v>
      </c>
    </row>
    <row r="161" spans="1:14">
      <c r="A161" s="3" t="s">
        <v>61</v>
      </c>
      <c r="B161" s="4">
        <v>45748</v>
      </c>
      <c r="C161" s="5" t="s">
        <v>20</v>
      </c>
      <c r="D161" s="5" t="s">
        <v>28</v>
      </c>
      <c r="E161" s="5">
        <v>23254.57</v>
      </c>
      <c r="F161" s="5">
        <v>3847</v>
      </c>
      <c r="G161" s="5">
        <v>0.159</v>
      </c>
      <c r="H161" s="5">
        <v>12</v>
      </c>
      <c r="I161" s="5">
        <v>93</v>
      </c>
      <c r="J161" s="5">
        <v>5.46</v>
      </c>
      <c r="K161" s="5">
        <v>0</v>
      </c>
      <c r="L161" s="5">
        <v>3.3</v>
      </c>
      <c r="M161" s="5">
        <v>620973.03</v>
      </c>
      <c r="N161" s="5">
        <v>72303.850000000006</v>
      </c>
    </row>
    <row r="162" spans="1:14">
      <c r="A162" s="3" t="s">
        <v>62</v>
      </c>
      <c r="B162" s="4">
        <v>45658</v>
      </c>
      <c r="C162" s="5" t="s">
        <v>24</v>
      </c>
      <c r="D162" s="5" t="s">
        <v>18</v>
      </c>
      <c r="E162" s="5">
        <v>41443.410000000003</v>
      </c>
      <c r="F162" s="5">
        <v>7455</v>
      </c>
      <c r="G162" s="5">
        <v>0.17499999999999999</v>
      </c>
      <c r="H162" s="5">
        <v>16</v>
      </c>
      <c r="I162" s="5">
        <v>90.1</v>
      </c>
      <c r="J162" s="5">
        <v>4.05</v>
      </c>
      <c r="K162" s="5">
        <v>0</v>
      </c>
      <c r="L162" s="5">
        <v>4</v>
      </c>
      <c r="M162" s="5">
        <v>650480.06000000006</v>
      </c>
      <c r="N162" s="5">
        <v>109012.07</v>
      </c>
    </row>
    <row r="163" spans="1:14">
      <c r="A163" s="3" t="s">
        <v>62</v>
      </c>
      <c r="B163" s="4">
        <v>45689</v>
      </c>
      <c r="C163" s="5" t="s">
        <v>24</v>
      </c>
      <c r="D163" s="5" t="s">
        <v>18</v>
      </c>
      <c r="E163" s="5">
        <v>48438.85</v>
      </c>
      <c r="F163" s="5">
        <v>6992</v>
      </c>
      <c r="G163" s="5">
        <v>3.4000000000000002E-2</v>
      </c>
      <c r="H163" s="5">
        <v>20</v>
      </c>
      <c r="I163" s="5">
        <v>91</v>
      </c>
      <c r="J163" s="5">
        <v>4.3600000000000003</v>
      </c>
      <c r="K163" s="5">
        <v>0</v>
      </c>
      <c r="L163" s="5">
        <v>4.2</v>
      </c>
      <c r="M163" s="5">
        <v>778298.88</v>
      </c>
      <c r="N163" s="5">
        <v>130076.72</v>
      </c>
    </row>
    <row r="164" spans="1:14">
      <c r="A164" s="3" t="s">
        <v>62</v>
      </c>
      <c r="B164" s="4">
        <v>45717</v>
      </c>
      <c r="C164" s="5" t="s">
        <v>24</v>
      </c>
      <c r="D164" s="5" t="s">
        <v>18</v>
      </c>
      <c r="E164" s="5">
        <v>57143.3</v>
      </c>
      <c r="F164" s="5">
        <v>8038</v>
      </c>
      <c r="G164" s="5">
        <v>0.193</v>
      </c>
      <c r="H164" s="5">
        <v>17</v>
      </c>
      <c r="I164" s="5">
        <v>72.599999999999994</v>
      </c>
      <c r="K164" s="5">
        <v>0</v>
      </c>
      <c r="L164" s="5">
        <v>4.2</v>
      </c>
      <c r="M164" s="5">
        <v>677096.71</v>
      </c>
      <c r="N164" s="5">
        <v>97174.11</v>
      </c>
    </row>
    <row r="165" spans="1:14">
      <c r="A165" s="3" t="s">
        <v>62</v>
      </c>
      <c r="B165" s="4">
        <v>45748</v>
      </c>
      <c r="C165" s="5" t="s">
        <v>24</v>
      </c>
      <c r="D165" s="5" t="s">
        <v>18</v>
      </c>
      <c r="E165" s="5">
        <v>66870.62</v>
      </c>
      <c r="F165" s="5">
        <v>6055</v>
      </c>
      <c r="G165" s="5">
        <v>7.4999999999999997E-2</v>
      </c>
      <c r="H165" s="5">
        <v>19</v>
      </c>
      <c r="I165" s="5">
        <v>93.8</v>
      </c>
      <c r="J165" s="5">
        <v>0.54</v>
      </c>
      <c r="K165" s="5">
        <v>0</v>
      </c>
      <c r="L165" s="5">
        <v>4.3</v>
      </c>
      <c r="M165" s="5">
        <v>692008.64</v>
      </c>
      <c r="N165" s="5">
        <v>116337.87</v>
      </c>
    </row>
    <row r="166" spans="1:14">
      <c r="A166" s="3" t="s">
        <v>63</v>
      </c>
      <c r="B166" s="4">
        <v>45658</v>
      </c>
      <c r="C166" s="5" t="s">
        <v>20</v>
      </c>
      <c r="D166" s="5" t="s">
        <v>28</v>
      </c>
      <c r="E166" s="5">
        <v>72150.53</v>
      </c>
      <c r="F166" s="5">
        <v>9323</v>
      </c>
      <c r="G166" s="5">
        <v>0.157</v>
      </c>
      <c r="H166" s="5">
        <v>22</v>
      </c>
      <c r="I166" s="5">
        <v>82.9</v>
      </c>
      <c r="J166" s="5">
        <v>11.37</v>
      </c>
      <c r="K166" s="5">
        <v>1</v>
      </c>
      <c r="L166" s="5">
        <v>4.3</v>
      </c>
      <c r="M166" s="5">
        <v>825797.91</v>
      </c>
      <c r="N166" s="5">
        <v>130945.24</v>
      </c>
    </row>
    <row r="167" spans="1:14">
      <c r="A167" s="3" t="s">
        <v>63</v>
      </c>
      <c r="B167" s="4">
        <v>45689</v>
      </c>
      <c r="C167" s="5" t="s">
        <v>20</v>
      </c>
      <c r="D167" s="5" t="s">
        <v>28</v>
      </c>
      <c r="E167" s="5">
        <v>35303.300000000003</v>
      </c>
      <c r="F167" s="5">
        <v>8789</v>
      </c>
      <c r="G167" s="5">
        <v>0.123</v>
      </c>
      <c r="H167" s="5">
        <v>22</v>
      </c>
      <c r="I167" s="5">
        <v>86.1</v>
      </c>
      <c r="J167" s="5">
        <v>9.43</v>
      </c>
      <c r="K167" s="5">
        <v>0</v>
      </c>
      <c r="L167" s="5">
        <v>4.2</v>
      </c>
      <c r="M167" s="5">
        <v>706285.52</v>
      </c>
      <c r="N167" s="5">
        <v>138014.72</v>
      </c>
    </row>
    <row r="168" spans="1:14">
      <c r="A168" s="3" t="s">
        <v>63</v>
      </c>
      <c r="B168" s="4">
        <v>45717</v>
      </c>
      <c r="C168" s="5" t="s">
        <v>20</v>
      </c>
      <c r="D168" s="5" t="s">
        <v>28</v>
      </c>
      <c r="E168" s="5">
        <v>30301.86</v>
      </c>
      <c r="F168" s="5">
        <v>6939</v>
      </c>
      <c r="G168" s="5">
        <v>0.09</v>
      </c>
      <c r="H168" s="5">
        <v>16</v>
      </c>
      <c r="I168" s="5">
        <v>90.3</v>
      </c>
      <c r="J168" s="5">
        <v>3.49</v>
      </c>
      <c r="K168" s="5">
        <v>0</v>
      </c>
      <c r="L168" s="5">
        <v>4</v>
      </c>
      <c r="M168" s="5">
        <v>665534.69999999995</v>
      </c>
      <c r="N168" s="5">
        <v>113167.73</v>
      </c>
    </row>
    <row r="169" spans="1:14">
      <c r="A169" s="3" t="s">
        <v>63</v>
      </c>
      <c r="B169" s="4">
        <v>45748</v>
      </c>
      <c r="C169" s="5" t="s">
        <v>20</v>
      </c>
      <c r="D169" s="5" t="s">
        <v>28</v>
      </c>
      <c r="E169" s="5">
        <v>78432.14</v>
      </c>
      <c r="F169" s="5">
        <v>9440</v>
      </c>
      <c r="G169" s="5">
        <v>0.126</v>
      </c>
      <c r="H169" s="5">
        <v>23</v>
      </c>
      <c r="I169" s="5">
        <v>89.2</v>
      </c>
      <c r="J169" s="5">
        <v>7.86</v>
      </c>
      <c r="K169" s="5">
        <v>0</v>
      </c>
      <c r="L169" s="5">
        <v>4.0999999999999996</v>
      </c>
      <c r="M169" s="5">
        <v>820729.29</v>
      </c>
      <c r="N169" s="5">
        <v>159325.47</v>
      </c>
    </row>
    <row r="170" spans="1:14">
      <c r="A170" s="3" t="s">
        <v>64</v>
      </c>
      <c r="B170" s="4">
        <v>45658</v>
      </c>
      <c r="C170" s="5" t="s">
        <v>15</v>
      </c>
      <c r="D170" s="5" t="s">
        <v>16</v>
      </c>
      <c r="E170" s="5">
        <v>62059.18</v>
      </c>
      <c r="F170" s="5">
        <v>9374</v>
      </c>
      <c r="G170" s="5">
        <v>0.13600000000000001</v>
      </c>
      <c r="H170" s="5">
        <v>25</v>
      </c>
      <c r="I170" s="5">
        <v>87.1</v>
      </c>
      <c r="J170" s="5">
        <v>12.55</v>
      </c>
      <c r="K170" s="5">
        <v>0</v>
      </c>
      <c r="L170" s="5">
        <v>4.9000000000000004</v>
      </c>
      <c r="M170" s="5">
        <v>739831.73</v>
      </c>
      <c r="N170" s="5">
        <v>119490.21</v>
      </c>
    </row>
    <row r="171" spans="1:14">
      <c r="A171" s="3" t="s">
        <v>64</v>
      </c>
      <c r="B171" s="4">
        <v>45689</v>
      </c>
      <c r="C171" s="5" t="s">
        <v>15</v>
      </c>
      <c r="D171" s="5" t="s">
        <v>16</v>
      </c>
      <c r="E171" s="5">
        <v>32834.480000000003</v>
      </c>
      <c r="F171" s="5">
        <v>7576</v>
      </c>
      <c r="G171" s="5">
        <v>9.9000000000000005E-2</v>
      </c>
      <c r="H171" s="5">
        <v>15</v>
      </c>
      <c r="I171" s="5">
        <v>84.1</v>
      </c>
      <c r="J171" s="5">
        <v>3.48</v>
      </c>
      <c r="K171" s="5">
        <v>0</v>
      </c>
      <c r="L171" s="5">
        <v>5</v>
      </c>
      <c r="M171" s="5">
        <v>593637.14</v>
      </c>
      <c r="N171" s="5">
        <v>106648.14</v>
      </c>
    </row>
    <row r="172" spans="1:14">
      <c r="A172" s="3" t="s">
        <v>64</v>
      </c>
      <c r="B172" s="4">
        <v>45717</v>
      </c>
      <c r="C172" s="5" t="s">
        <v>15</v>
      </c>
      <c r="D172" s="5" t="s">
        <v>16</v>
      </c>
      <c r="E172" s="5">
        <v>50825.08</v>
      </c>
      <c r="F172" s="5">
        <v>8949</v>
      </c>
      <c r="G172" s="5">
        <v>0.157</v>
      </c>
      <c r="H172" s="5">
        <v>21</v>
      </c>
      <c r="I172" s="5">
        <v>84.7</v>
      </c>
      <c r="J172" s="5">
        <v>7.73</v>
      </c>
      <c r="K172" s="5">
        <v>0</v>
      </c>
      <c r="L172" s="5">
        <v>4.9000000000000004</v>
      </c>
      <c r="M172" s="5">
        <v>769702.76</v>
      </c>
      <c r="N172" s="5">
        <v>158697</v>
      </c>
    </row>
    <row r="173" spans="1:14">
      <c r="A173" s="3" t="s">
        <v>64</v>
      </c>
      <c r="B173" s="4">
        <v>45748</v>
      </c>
      <c r="C173" s="5" t="s">
        <v>15</v>
      </c>
      <c r="D173" s="5" t="s">
        <v>16</v>
      </c>
      <c r="E173" s="5">
        <v>36606.51</v>
      </c>
      <c r="F173" s="5">
        <v>7671</v>
      </c>
      <c r="G173" s="5">
        <v>0.11799999999999999</v>
      </c>
      <c r="H173" s="5">
        <v>18</v>
      </c>
      <c r="I173" s="5">
        <v>89.8</v>
      </c>
      <c r="J173" s="5">
        <v>0.25</v>
      </c>
      <c r="K173" s="5">
        <v>0</v>
      </c>
      <c r="L173" s="5">
        <v>4.4000000000000004</v>
      </c>
      <c r="M173" s="5">
        <v>679731.57</v>
      </c>
      <c r="N173" s="5">
        <v>121546.42</v>
      </c>
    </row>
    <row r="174" spans="1:14">
      <c r="A174" s="3" t="s">
        <v>65</v>
      </c>
      <c r="B174" s="4">
        <v>45658</v>
      </c>
      <c r="C174" s="5" t="s">
        <v>15</v>
      </c>
      <c r="D174" s="5" t="s">
        <v>16</v>
      </c>
      <c r="E174" s="5">
        <v>65237.79</v>
      </c>
      <c r="F174" s="5">
        <v>8741</v>
      </c>
      <c r="G174" s="5">
        <v>0.157</v>
      </c>
      <c r="H174" s="5">
        <v>20</v>
      </c>
      <c r="I174" s="5">
        <v>94.4</v>
      </c>
      <c r="J174" s="5">
        <v>6.43</v>
      </c>
      <c r="K174" s="5">
        <v>0</v>
      </c>
      <c r="L174" s="5">
        <v>3.3</v>
      </c>
      <c r="M174" s="5">
        <v>780344.18</v>
      </c>
      <c r="N174" s="5">
        <v>118239.09</v>
      </c>
    </row>
    <row r="175" spans="1:14">
      <c r="A175" s="3" t="s">
        <v>65</v>
      </c>
      <c r="B175" s="4">
        <v>45689</v>
      </c>
      <c r="C175" s="5" t="s">
        <v>15</v>
      </c>
      <c r="D175" s="5" t="s">
        <v>16</v>
      </c>
      <c r="E175" s="5">
        <v>43645.98</v>
      </c>
      <c r="F175" s="5">
        <v>9480</v>
      </c>
      <c r="G175" s="5">
        <v>0.109</v>
      </c>
      <c r="H175" s="5">
        <v>22</v>
      </c>
      <c r="I175" s="5">
        <v>89</v>
      </c>
      <c r="J175" s="5">
        <v>2.11</v>
      </c>
      <c r="K175" s="5">
        <v>0</v>
      </c>
      <c r="L175" s="5">
        <v>3.1</v>
      </c>
      <c r="M175" s="5">
        <v>721364.11</v>
      </c>
      <c r="N175" s="5">
        <v>147272.81</v>
      </c>
    </row>
    <row r="176" spans="1:14">
      <c r="A176" s="3" t="s">
        <v>65</v>
      </c>
      <c r="B176" s="4">
        <v>45717</v>
      </c>
      <c r="C176" s="5" t="s">
        <v>15</v>
      </c>
      <c r="D176" s="5" t="s">
        <v>16</v>
      </c>
      <c r="E176" s="5">
        <v>68040.149999999994</v>
      </c>
      <c r="F176" s="5">
        <v>9826</v>
      </c>
      <c r="G176" s="5">
        <v>0.125</v>
      </c>
      <c r="H176" s="5">
        <v>20</v>
      </c>
      <c r="I176" s="5">
        <v>83.9</v>
      </c>
      <c r="J176" s="5">
        <v>9.1199999999999992</v>
      </c>
      <c r="K176" s="5">
        <v>0</v>
      </c>
      <c r="L176" s="5">
        <v>3.6</v>
      </c>
      <c r="M176" s="5">
        <v>758138.29</v>
      </c>
      <c r="N176" s="5">
        <v>132975.26</v>
      </c>
    </row>
    <row r="177" spans="1:14">
      <c r="A177" s="3" t="s">
        <v>65</v>
      </c>
      <c r="B177" s="4">
        <v>45748</v>
      </c>
      <c r="C177" s="5" t="s">
        <v>15</v>
      </c>
      <c r="D177" s="5" t="s">
        <v>16</v>
      </c>
      <c r="E177" s="5">
        <v>63043.94</v>
      </c>
      <c r="F177" s="5">
        <v>10402</v>
      </c>
      <c r="G177" s="5">
        <v>0.159</v>
      </c>
      <c r="H177" s="5">
        <v>23</v>
      </c>
      <c r="I177" s="5">
        <v>93.9</v>
      </c>
      <c r="J177" s="5">
        <v>2.71</v>
      </c>
      <c r="K177" s="5">
        <v>0</v>
      </c>
      <c r="L177" s="5">
        <v>3.1</v>
      </c>
      <c r="M177" s="5">
        <v>804264</v>
      </c>
      <c r="N177" s="5">
        <v>167117.91</v>
      </c>
    </row>
    <row r="178" spans="1:14">
      <c r="A178" s="3" t="s">
        <v>66</v>
      </c>
      <c r="B178" s="4">
        <v>45658</v>
      </c>
      <c r="C178" s="5" t="s">
        <v>27</v>
      </c>
      <c r="D178" s="5" t="s">
        <v>21</v>
      </c>
      <c r="E178" s="5">
        <v>67494.09</v>
      </c>
      <c r="F178" s="5">
        <v>12361</v>
      </c>
      <c r="G178" s="5">
        <v>4.5999999999999999E-2</v>
      </c>
      <c r="H178" s="5">
        <v>24</v>
      </c>
      <c r="I178" s="5">
        <v>76.599999999999994</v>
      </c>
      <c r="J178" s="5">
        <v>3.65</v>
      </c>
      <c r="K178" s="5">
        <v>1</v>
      </c>
      <c r="L178" s="5">
        <v>3.7</v>
      </c>
      <c r="M178" s="5">
        <v>887537.75</v>
      </c>
      <c r="N178" s="5">
        <v>160362.92000000001</v>
      </c>
    </row>
    <row r="179" spans="1:14">
      <c r="A179" s="3" t="s">
        <v>66</v>
      </c>
      <c r="B179" s="4">
        <v>45689</v>
      </c>
      <c r="C179" s="5" t="s">
        <v>27</v>
      </c>
      <c r="D179" s="5" t="s">
        <v>21</v>
      </c>
      <c r="E179" s="5">
        <v>29389.32</v>
      </c>
      <c r="F179" s="5">
        <v>7925</v>
      </c>
      <c r="G179" s="5">
        <v>0.17699999999999999</v>
      </c>
      <c r="H179" s="5">
        <v>21</v>
      </c>
      <c r="I179" s="5">
        <v>90.9</v>
      </c>
      <c r="J179" s="5">
        <v>7.86</v>
      </c>
      <c r="K179" s="5">
        <v>0</v>
      </c>
      <c r="L179" s="5">
        <v>4</v>
      </c>
      <c r="M179" s="5">
        <v>783582</v>
      </c>
      <c r="N179" s="5">
        <v>130670.93</v>
      </c>
    </row>
    <row r="180" spans="1:14">
      <c r="A180" s="3" t="s">
        <v>66</v>
      </c>
      <c r="B180" s="4">
        <v>45717</v>
      </c>
      <c r="C180" s="5" t="s">
        <v>27</v>
      </c>
      <c r="D180" s="5" t="s">
        <v>21</v>
      </c>
      <c r="E180" s="5">
        <v>40535.089999999997</v>
      </c>
      <c r="F180" s="5">
        <v>8870</v>
      </c>
      <c r="G180" s="5">
        <v>4.1000000000000002E-2</v>
      </c>
      <c r="H180" s="5">
        <v>21</v>
      </c>
      <c r="I180" s="5">
        <v>86.6</v>
      </c>
      <c r="J180" s="5">
        <v>0.3</v>
      </c>
      <c r="K180" s="5">
        <v>0</v>
      </c>
      <c r="L180" s="5">
        <v>4.0999999999999996</v>
      </c>
      <c r="M180" s="5">
        <v>781955.52</v>
      </c>
      <c r="N180" s="5">
        <v>152578.71</v>
      </c>
    </row>
    <row r="181" spans="1:14">
      <c r="A181" s="3" t="s">
        <v>66</v>
      </c>
      <c r="B181" s="4">
        <v>45748</v>
      </c>
      <c r="C181" s="5" t="s">
        <v>27</v>
      </c>
      <c r="D181" s="5" t="s">
        <v>21</v>
      </c>
      <c r="E181" s="5">
        <v>74881.56</v>
      </c>
      <c r="F181" s="5">
        <v>9999</v>
      </c>
      <c r="G181" s="5">
        <v>1.2999999999999999E-2</v>
      </c>
      <c r="H181" s="5">
        <v>20</v>
      </c>
      <c r="I181" s="5">
        <v>89.6</v>
      </c>
      <c r="J181" s="5">
        <v>8.44</v>
      </c>
      <c r="K181" s="5">
        <v>0</v>
      </c>
      <c r="L181" s="5">
        <v>4.0999999999999996</v>
      </c>
      <c r="M181" s="5">
        <v>898031.04</v>
      </c>
      <c r="N181" s="5">
        <v>138666.5</v>
      </c>
    </row>
    <row r="182" spans="1:14">
      <c r="A182" s="3" t="s">
        <v>67</v>
      </c>
      <c r="B182" s="4">
        <v>45658</v>
      </c>
      <c r="C182" s="5" t="s">
        <v>27</v>
      </c>
      <c r="D182" s="5" t="s">
        <v>16</v>
      </c>
      <c r="E182" s="5">
        <v>68491.11</v>
      </c>
      <c r="F182" s="5">
        <v>11154</v>
      </c>
      <c r="G182" s="5">
        <v>1E-3</v>
      </c>
      <c r="H182" s="5">
        <v>24</v>
      </c>
      <c r="I182" s="5">
        <v>89.4</v>
      </c>
      <c r="J182" s="5">
        <v>5.27</v>
      </c>
      <c r="K182" s="5">
        <v>1</v>
      </c>
      <c r="L182" s="5">
        <v>3.9</v>
      </c>
      <c r="M182" s="5">
        <v>855341.28</v>
      </c>
      <c r="N182" s="5">
        <v>175823.8</v>
      </c>
    </row>
    <row r="183" spans="1:14">
      <c r="A183" s="3" t="s">
        <v>67</v>
      </c>
      <c r="B183" s="4">
        <v>45689</v>
      </c>
      <c r="C183" s="5" t="s">
        <v>27</v>
      </c>
      <c r="D183" s="5" t="s">
        <v>16</v>
      </c>
      <c r="E183" s="5">
        <v>45209.25</v>
      </c>
      <c r="F183" s="5">
        <v>9287</v>
      </c>
      <c r="G183" s="5">
        <v>0.14099999999999999</v>
      </c>
      <c r="H183" s="5">
        <v>22</v>
      </c>
      <c r="I183" s="5">
        <v>86.4</v>
      </c>
      <c r="J183" s="5">
        <v>13.22</v>
      </c>
      <c r="K183" s="5">
        <v>0</v>
      </c>
      <c r="L183" s="5">
        <v>3.6</v>
      </c>
      <c r="M183" s="5">
        <v>751393.88</v>
      </c>
      <c r="N183" s="5">
        <v>91480.320000000007</v>
      </c>
    </row>
    <row r="184" spans="1:14">
      <c r="A184" s="3" t="s">
        <v>67</v>
      </c>
      <c r="B184" s="4">
        <v>45717</v>
      </c>
      <c r="C184" s="5" t="s">
        <v>27</v>
      </c>
      <c r="D184" s="5" t="s">
        <v>16</v>
      </c>
      <c r="E184" s="5">
        <v>63010.23</v>
      </c>
      <c r="F184" s="5">
        <v>9812</v>
      </c>
      <c r="G184" s="5">
        <v>0.113</v>
      </c>
      <c r="H184" s="5">
        <v>24</v>
      </c>
      <c r="I184" s="5">
        <v>76.8</v>
      </c>
      <c r="J184" s="5">
        <v>1.02</v>
      </c>
      <c r="K184" s="5">
        <v>1</v>
      </c>
      <c r="L184" s="5">
        <v>3.8</v>
      </c>
      <c r="M184" s="5">
        <v>761077.08</v>
      </c>
      <c r="N184" s="5">
        <v>113605.93</v>
      </c>
    </row>
    <row r="185" spans="1:14">
      <c r="A185" s="3" t="s">
        <v>67</v>
      </c>
      <c r="B185" s="4">
        <v>45748</v>
      </c>
      <c r="C185" s="5" t="s">
        <v>27</v>
      </c>
      <c r="D185" s="5" t="s">
        <v>16</v>
      </c>
      <c r="E185" s="5">
        <v>57948.88</v>
      </c>
      <c r="F185" s="5">
        <v>10741</v>
      </c>
      <c r="G185" s="5">
        <v>7.0000000000000007E-2</v>
      </c>
      <c r="H185" s="5">
        <v>25</v>
      </c>
      <c r="I185" s="5">
        <v>90.1</v>
      </c>
      <c r="J185" s="5">
        <v>4.03</v>
      </c>
      <c r="K185" s="5">
        <v>0</v>
      </c>
      <c r="L185" s="5">
        <v>3.1</v>
      </c>
      <c r="M185" s="5">
        <v>819660.59</v>
      </c>
      <c r="N185" s="5">
        <v>172699.95</v>
      </c>
    </row>
    <row r="186" spans="1:14">
      <c r="A186" s="3" t="s">
        <v>68</v>
      </c>
      <c r="B186" s="4">
        <v>45658</v>
      </c>
      <c r="C186" s="5" t="s">
        <v>20</v>
      </c>
      <c r="D186" s="5" t="s">
        <v>18</v>
      </c>
      <c r="E186" s="5">
        <v>71941.62</v>
      </c>
      <c r="F186" s="5">
        <v>6084</v>
      </c>
      <c r="G186" s="5">
        <v>7.1999999999999995E-2</v>
      </c>
      <c r="H186" s="5">
        <v>13</v>
      </c>
      <c r="I186" s="5">
        <v>93.7</v>
      </c>
      <c r="J186" s="5">
        <v>2.34</v>
      </c>
      <c r="K186" s="5">
        <v>0</v>
      </c>
      <c r="L186" s="5">
        <v>4.4000000000000004</v>
      </c>
      <c r="M186" s="5">
        <v>681855.56</v>
      </c>
      <c r="N186" s="5">
        <v>117645.61</v>
      </c>
    </row>
    <row r="187" spans="1:14">
      <c r="A187" s="3" t="s">
        <v>68</v>
      </c>
      <c r="B187" s="4">
        <v>45689</v>
      </c>
      <c r="C187" s="5" t="s">
        <v>20</v>
      </c>
      <c r="D187" s="5" t="s">
        <v>18</v>
      </c>
      <c r="E187" s="5">
        <v>57147.88</v>
      </c>
      <c r="F187" s="5">
        <v>5252</v>
      </c>
      <c r="G187" s="5">
        <v>0.161</v>
      </c>
      <c r="H187" s="5">
        <v>15</v>
      </c>
      <c r="I187" s="5">
        <v>95.5</v>
      </c>
      <c r="J187" s="5">
        <v>8.51</v>
      </c>
      <c r="K187" s="5">
        <v>0</v>
      </c>
      <c r="L187" s="5">
        <v>4.4000000000000004</v>
      </c>
      <c r="M187" s="5">
        <v>678311.17</v>
      </c>
      <c r="N187" s="5">
        <v>132029.76000000001</v>
      </c>
    </row>
    <row r="188" spans="1:14">
      <c r="A188" s="3" t="s">
        <v>68</v>
      </c>
      <c r="B188" s="4">
        <v>45717</v>
      </c>
      <c r="C188" s="5" t="s">
        <v>20</v>
      </c>
      <c r="D188" s="5" t="s">
        <v>18</v>
      </c>
      <c r="E188" s="5">
        <v>48031.74</v>
      </c>
      <c r="F188" s="5">
        <v>6516</v>
      </c>
      <c r="G188" s="5">
        <v>6.7000000000000004E-2</v>
      </c>
      <c r="H188" s="5">
        <v>14</v>
      </c>
      <c r="I188" s="5">
        <v>99</v>
      </c>
      <c r="J188" s="5">
        <v>0.48</v>
      </c>
      <c r="K188" s="5">
        <v>1</v>
      </c>
      <c r="L188" s="5">
        <v>4.3</v>
      </c>
      <c r="M188" s="5">
        <v>765906.95</v>
      </c>
      <c r="N188" s="5">
        <v>114005.9</v>
      </c>
    </row>
    <row r="189" spans="1:14">
      <c r="A189" s="3" t="s">
        <v>68</v>
      </c>
      <c r="B189" s="4">
        <v>45748</v>
      </c>
      <c r="C189" s="5" t="s">
        <v>20</v>
      </c>
      <c r="D189" s="5" t="s">
        <v>18</v>
      </c>
      <c r="E189" s="5">
        <v>72784.800000000003</v>
      </c>
      <c r="F189" s="5">
        <v>7932</v>
      </c>
      <c r="G189" s="5">
        <v>9.4E-2</v>
      </c>
      <c r="H189" s="5">
        <v>20</v>
      </c>
      <c r="I189" s="5">
        <v>74.900000000000006</v>
      </c>
      <c r="J189" s="5">
        <v>13.62</v>
      </c>
      <c r="K189" s="5">
        <v>0</v>
      </c>
      <c r="L189" s="5">
        <v>4.2</v>
      </c>
      <c r="M189" s="5">
        <v>712546.38</v>
      </c>
      <c r="N189" s="5">
        <v>101480.04</v>
      </c>
    </row>
    <row r="190" spans="1:14">
      <c r="A190" s="3" t="s">
        <v>69</v>
      </c>
      <c r="B190" s="4">
        <v>45658</v>
      </c>
      <c r="C190" s="5" t="s">
        <v>15</v>
      </c>
      <c r="D190" s="5" t="s">
        <v>18</v>
      </c>
      <c r="E190" s="5">
        <v>71641.899999999994</v>
      </c>
      <c r="F190" s="5">
        <v>3506</v>
      </c>
      <c r="G190" s="5">
        <v>0</v>
      </c>
      <c r="H190" s="5">
        <v>11</v>
      </c>
      <c r="I190" s="5">
        <v>86.4</v>
      </c>
      <c r="J190" s="5">
        <v>7.77</v>
      </c>
      <c r="K190" s="5">
        <v>0</v>
      </c>
      <c r="L190" s="5">
        <v>4.0999999999999996</v>
      </c>
      <c r="M190" s="5">
        <v>625993.82999999996</v>
      </c>
      <c r="N190" s="5">
        <v>98960.320000000007</v>
      </c>
    </row>
    <row r="191" spans="1:14">
      <c r="A191" s="3" t="s">
        <v>69</v>
      </c>
      <c r="B191" s="4">
        <v>45689</v>
      </c>
      <c r="C191" s="5" t="s">
        <v>15</v>
      </c>
      <c r="D191" s="5" t="s">
        <v>18</v>
      </c>
      <c r="E191" s="5">
        <v>55788.61</v>
      </c>
      <c r="F191" s="5">
        <v>2312</v>
      </c>
      <c r="G191" s="5">
        <v>5.8000000000000003E-2</v>
      </c>
      <c r="H191" s="5">
        <v>10</v>
      </c>
      <c r="I191" s="5">
        <v>91.3</v>
      </c>
      <c r="J191" s="5">
        <v>1.99</v>
      </c>
      <c r="K191" s="5">
        <v>0</v>
      </c>
      <c r="L191" s="5">
        <v>3.8</v>
      </c>
      <c r="M191" s="5">
        <v>550962.93000000005</v>
      </c>
      <c r="N191" s="5">
        <v>97144.58</v>
      </c>
    </row>
    <row r="192" spans="1:14">
      <c r="A192" s="3" t="s">
        <v>69</v>
      </c>
      <c r="B192" s="4">
        <v>45717</v>
      </c>
      <c r="C192" s="5" t="s">
        <v>15</v>
      </c>
      <c r="D192" s="5" t="s">
        <v>18</v>
      </c>
      <c r="E192" s="5">
        <v>37705.879999999997</v>
      </c>
      <c r="F192" s="5">
        <v>1268</v>
      </c>
      <c r="G192" s="5">
        <v>0.25900000000000001</v>
      </c>
      <c r="H192" s="5">
        <v>9</v>
      </c>
      <c r="I192" s="5">
        <v>84.1</v>
      </c>
      <c r="J192" s="5">
        <v>4.7699999999999996</v>
      </c>
      <c r="K192" s="5">
        <v>0</v>
      </c>
      <c r="L192" s="5">
        <v>3.8</v>
      </c>
      <c r="M192" s="5">
        <v>443275.59</v>
      </c>
      <c r="N192" s="5">
        <v>53544.36</v>
      </c>
    </row>
    <row r="193" spans="1:14">
      <c r="A193" s="3" t="s">
        <v>69</v>
      </c>
      <c r="B193" s="4">
        <v>45748</v>
      </c>
      <c r="C193" s="5" t="s">
        <v>15</v>
      </c>
      <c r="D193" s="5" t="s">
        <v>18</v>
      </c>
      <c r="E193" s="5">
        <v>54966.18</v>
      </c>
      <c r="F193" s="5">
        <v>4423</v>
      </c>
      <c r="G193" s="5">
        <v>0.186</v>
      </c>
      <c r="H193" s="5">
        <v>13</v>
      </c>
      <c r="I193" s="5">
        <v>88.7</v>
      </c>
      <c r="J193" s="5">
        <v>0.2</v>
      </c>
      <c r="K193" s="5">
        <v>0</v>
      </c>
      <c r="L193" s="5">
        <v>4.4000000000000004</v>
      </c>
      <c r="M193" s="5">
        <v>554012.06999999995</v>
      </c>
      <c r="N193" s="5">
        <v>81101.62</v>
      </c>
    </row>
    <row r="194" spans="1:14">
      <c r="A194" s="3" t="s">
        <v>70</v>
      </c>
      <c r="B194" s="4">
        <v>45658</v>
      </c>
      <c r="C194" s="5" t="s">
        <v>27</v>
      </c>
      <c r="D194" s="5" t="s">
        <v>16</v>
      </c>
      <c r="E194" s="5">
        <v>81796.740000000005</v>
      </c>
      <c r="F194" s="5">
        <v>6177</v>
      </c>
      <c r="G194" s="5">
        <v>0.16400000000000001</v>
      </c>
      <c r="H194" s="5">
        <v>14</v>
      </c>
      <c r="I194" s="5">
        <v>87.9</v>
      </c>
      <c r="J194" s="5">
        <v>0.53</v>
      </c>
      <c r="K194" s="5">
        <v>0</v>
      </c>
      <c r="L194" s="5">
        <v>3.2</v>
      </c>
      <c r="M194" s="5">
        <v>643428.85</v>
      </c>
      <c r="N194" s="5">
        <v>94477.63</v>
      </c>
    </row>
    <row r="195" spans="1:14">
      <c r="A195" s="3" t="s">
        <v>70</v>
      </c>
      <c r="B195" s="4">
        <v>45689</v>
      </c>
      <c r="C195" s="5" t="s">
        <v>27</v>
      </c>
      <c r="D195" s="5" t="s">
        <v>16</v>
      </c>
      <c r="E195" s="5">
        <v>51133.43</v>
      </c>
      <c r="F195" s="5">
        <v>5150</v>
      </c>
      <c r="G195" s="5">
        <v>0.15</v>
      </c>
      <c r="H195" s="5">
        <v>12</v>
      </c>
      <c r="I195" s="5">
        <v>88.5</v>
      </c>
      <c r="J195" s="5">
        <v>1.54</v>
      </c>
      <c r="K195" s="5">
        <v>0</v>
      </c>
      <c r="L195" s="5">
        <v>3.2</v>
      </c>
      <c r="M195" s="5">
        <v>611924.27</v>
      </c>
      <c r="N195" s="5">
        <v>115488.75</v>
      </c>
    </row>
    <row r="196" spans="1:14">
      <c r="A196" s="3" t="s">
        <v>70</v>
      </c>
      <c r="B196" s="4">
        <v>45717</v>
      </c>
      <c r="C196" s="5" t="s">
        <v>27</v>
      </c>
      <c r="D196" s="5" t="s">
        <v>16</v>
      </c>
      <c r="E196" s="5">
        <v>40220.18</v>
      </c>
      <c r="F196" s="5">
        <v>3783</v>
      </c>
      <c r="G196" s="5">
        <v>8.8999999999999996E-2</v>
      </c>
      <c r="H196" s="5">
        <v>14</v>
      </c>
      <c r="I196" s="5">
        <v>86.6</v>
      </c>
      <c r="J196" s="5">
        <v>3.63</v>
      </c>
      <c r="K196" s="5">
        <v>0</v>
      </c>
      <c r="L196" s="5">
        <v>3.7</v>
      </c>
      <c r="M196" s="5">
        <v>559422.02</v>
      </c>
      <c r="N196" s="5">
        <v>73528.740000000005</v>
      </c>
    </row>
    <row r="197" spans="1:14">
      <c r="A197" s="3" t="s">
        <v>70</v>
      </c>
      <c r="B197" s="4">
        <v>45748</v>
      </c>
      <c r="C197" s="5" t="s">
        <v>27</v>
      </c>
      <c r="D197" s="5" t="s">
        <v>16</v>
      </c>
      <c r="E197" s="5">
        <v>41657.64</v>
      </c>
      <c r="F197" s="5">
        <v>3135</v>
      </c>
      <c r="G197" s="5">
        <v>0.22900000000000001</v>
      </c>
      <c r="H197" s="5">
        <v>7</v>
      </c>
      <c r="I197" s="5">
        <v>85.4</v>
      </c>
      <c r="J197" s="5">
        <v>13.48</v>
      </c>
      <c r="K197" s="5">
        <v>0</v>
      </c>
      <c r="M197" s="5">
        <v>449465.06</v>
      </c>
      <c r="N197" s="5">
        <v>65694.78</v>
      </c>
    </row>
    <row r="198" spans="1:14">
      <c r="A198" s="3" t="s">
        <v>71</v>
      </c>
      <c r="B198" s="4">
        <v>45658</v>
      </c>
      <c r="C198" s="5" t="s">
        <v>20</v>
      </c>
      <c r="D198" s="5" t="s">
        <v>16</v>
      </c>
      <c r="E198" s="5">
        <v>71851.45</v>
      </c>
      <c r="F198" s="5">
        <v>4970</v>
      </c>
      <c r="G198" s="5">
        <v>9.8000000000000004E-2</v>
      </c>
      <c r="H198" s="5">
        <v>11</v>
      </c>
      <c r="I198" s="5">
        <v>89.6</v>
      </c>
      <c r="J198" s="5">
        <v>0.2</v>
      </c>
      <c r="K198" s="5">
        <v>0</v>
      </c>
      <c r="L198" s="5">
        <v>4.2</v>
      </c>
      <c r="M198" s="5">
        <v>691447.43</v>
      </c>
      <c r="N198" s="5">
        <v>114077.69</v>
      </c>
    </row>
    <row r="199" spans="1:14">
      <c r="A199" s="3" t="s">
        <v>71</v>
      </c>
      <c r="B199" s="4">
        <v>45689</v>
      </c>
      <c r="C199" s="5" t="s">
        <v>20</v>
      </c>
      <c r="D199" s="5" t="s">
        <v>16</v>
      </c>
      <c r="E199" s="5">
        <v>54002.83</v>
      </c>
      <c r="F199" s="5">
        <v>4366</v>
      </c>
      <c r="G199" s="5">
        <v>2.7E-2</v>
      </c>
      <c r="H199" s="5">
        <v>15</v>
      </c>
      <c r="I199" s="5">
        <v>90.6</v>
      </c>
      <c r="J199" s="5">
        <v>12.82</v>
      </c>
      <c r="K199" s="5">
        <v>0</v>
      </c>
      <c r="L199" s="5">
        <v>4.5999999999999996</v>
      </c>
      <c r="M199" s="5">
        <v>574066.61</v>
      </c>
      <c r="N199" s="5">
        <v>124674.67</v>
      </c>
    </row>
    <row r="200" spans="1:14">
      <c r="A200" s="3" t="s">
        <v>71</v>
      </c>
      <c r="B200" s="4">
        <v>45717</v>
      </c>
      <c r="C200" s="5" t="s">
        <v>20</v>
      </c>
      <c r="D200" s="5" t="s">
        <v>16</v>
      </c>
      <c r="E200" s="5">
        <v>54479.33</v>
      </c>
      <c r="F200" s="5">
        <v>5012</v>
      </c>
      <c r="G200" s="5">
        <v>0.28399999999999997</v>
      </c>
      <c r="H200" s="5">
        <v>13</v>
      </c>
      <c r="I200" s="5">
        <v>86</v>
      </c>
      <c r="J200" s="5">
        <v>2.2400000000000002</v>
      </c>
      <c r="K200" s="5">
        <v>1</v>
      </c>
      <c r="L200" s="5">
        <v>4.3</v>
      </c>
      <c r="M200" s="5">
        <v>578949.84</v>
      </c>
      <c r="N200" s="5">
        <v>80253.649999999994</v>
      </c>
    </row>
    <row r="201" spans="1:14">
      <c r="A201" s="3" t="s">
        <v>71</v>
      </c>
      <c r="B201" s="4">
        <v>45748</v>
      </c>
      <c r="C201" s="5" t="s">
        <v>20</v>
      </c>
      <c r="D201" s="5" t="s">
        <v>16</v>
      </c>
      <c r="E201" s="5">
        <v>61391.8</v>
      </c>
      <c r="F201" s="5">
        <v>5575</v>
      </c>
      <c r="G201" s="5">
        <v>0.189</v>
      </c>
      <c r="H201" s="5">
        <v>18</v>
      </c>
      <c r="I201" s="5">
        <v>90</v>
      </c>
      <c r="J201" s="5">
        <v>1.8</v>
      </c>
      <c r="K201" s="5">
        <v>0</v>
      </c>
      <c r="L201" s="5">
        <v>4.8</v>
      </c>
      <c r="M201" s="5">
        <v>735786.64</v>
      </c>
      <c r="N201" s="5">
        <v>126540.66</v>
      </c>
    </row>
    <row r="202" spans="1:14">
      <c r="A202" s="3" t="s">
        <v>72</v>
      </c>
      <c r="B202" s="4">
        <v>45658</v>
      </c>
      <c r="C202" s="5" t="s">
        <v>15</v>
      </c>
      <c r="D202" s="5" t="s">
        <v>21</v>
      </c>
      <c r="E202" s="5">
        <v>22312.93</v>
      </c>
      <c r="F202" s="5">
        <v>5955</v>
      </c>
      <c r="G202" s="5">
        <v>0.123</v>
      </c>
      <c r="H202" s="5">
        <v>13</v>
      </c>
      <c r="I202" s="5">
        <v>84.2</v>
      </c>
      <c r="J202" s="5">
        <v>0.41</v>
      </c>
      <c r="K202" s="5">
        <v>1</v>
      </c>
      <c r="L202" s="5">
        <v>4.5999999999999996</v>
      </c>
      <c r="M202" s="5">
        <v>598904.9</v>
      </c>
      <c r="N202" s="5">
        <v>72861</v>
      </c>
    </row>
    <row r="203" spans="1:14">
      <c r="A203" s="3" t="s">
        <v>72</v>
      </c>
      <c r="B203" s="4">
        <v>45689</v>
      </c>
      <c r="C203" s="5" t="s">
        <v>15</v>
      </c>
      <c r="D203" s="5" t="s">
        <v>21</v>
      </c>
      <c r="E203" s="5">
        <v>78111.97</v>
      </c>
      <c r="F203" s="5">
        <v>6389</v>
      </c>
      <c r="G203" s="5">
        <v>0.15</v>
      </c>
      <c r="H203" s="5">
        <v>13</v>
      </c>
      <c r="I203" s="5">
        <v>83.9</v>
      </c>
      <c r="J203" s="5">
        <v>3.05</v>
      </c>
      <c r="K203" s="5">
        <v>0</v>
      </c>
      <c r="L203" s="5">
        <v>4.8</v>
      </c>
      <c r="M203" s="5">
        <v>787715.51</v>
      </c>
      <c r="N203" s="5">
        <v>128969.62</v>
      </c>
    </row>
    <row r="204" spans="1:14">
      <c r="A204" s="3" t="s">
        <v>72</v>
      </c>
      <c r="B204" s="4">
        <v>45717</v>
      </c>
      <c r="C204" s="5" t="s">
        <v>15</v>
      </c>
      <c r="D204" s="5" t="s">
        <v>21</v>
      </c>
      <c r="E204" s="5">
        <v>35203.230000000003</v>
      </c>
      <c r="F204" s="5">
        <v>6896</v>
      </c>
      <c r="G204" s="5">
        <v>3.2000000000000001E-2</v>
      </c>
      <c r="H204" s="5">
        <v>14</v>
      </c>
      <c r="I204" s="5">
        <v>80.8</v>
      </c>
      <c r="J204" s="5">
        <v>8.44</v>
      </c>
      <c r="K204" s="5">
        <v>1</v>
      </c>
      <c r="L204" s="5">
        <v>5</v>
      </c>
      <c r="M204" s="5">
        <v>607084.92000000004</v>
      </c>
      <c r="N204" s="5">
        <v>98558.49</v>
      </c>
    </row>
    <row r="205" spans="1:14">
      <c r="A205" s="3" t="s">
        <v>72</v>
      </c>
      <c r="B205" s="4">
        <v>45748</v>
      </c>
      <c r="C205" s="5" t="s">
        <v>15</v>
      </c>
      <c r="D205" s="5" t="s">
        <v>21</v>
      </c>
      <c r="E205" s="5">
        <v>64104.28</v>
      </c>
      <c r="F205" s="5">
        <v>6015</v>
      </c>
      <c r="G205" s="5">
        <v>0.127</v>
      </c>
      <c r="H205" s="5">
        <v>15</v>
      </c>
      <c r="I205" s="5">
        <v>88.7</v>
      </c>
      <c r="J205" s="5">
        <v>0.78</v>
      </c>
      <c r="K205" s="5">
        <v>0</v>
      </c>
      <c r="L205" s="5">
        <v>4</v>
      </c>
      <c r="M205" s="5">
        <v>650795.49</v>
      </c>
      <c r="N205" s="5">
        <v>103035.89</v>
      </c>
    </row>
    <row r="206" spans="1:14">
      <c r="A206" s="3" t="s">
        <v>73</v>
      </c>
      <c r="B206" s="4">
        <v>45658</v>
      </c>
      <c r="C206" s="5" t="s">
        <v>15</v>
      </c>
      <c r="D206" s="5" t="s">
        <v>28</v>
      </c>
      <c r="E206" s="5">
        <v>92090.14</v>
      </c>
      <c r="F206" s="5">
        <v>9476</v>
      </c>
      <c r="G206" s="5">
        <v>7.0000000000000007E-2</v>
      </c>
      <c r="H206" s="5">
        <v>24</v>
      </c>
      <c r="I206" s="5">
        <v>94.3</v>
      </c>
      <c r="J206" s="5">
        <v>0.87</v>
      </c>
      <c r="K206" s="5">
        <v>0</v>
      </c>
      <c r="L206" s="5">
        <v>3.7</v>
      </c>
      <c r="M206" s="5">
        <v>825060.52</v>
      </c>
      <c r="N206" s="5">
        <v>143613.15</v>
      </c>
    </row>
    <row r="207" spans="1:14">
      <c r="A207" s="3" t="s">
        <v>73</v>
      </c>
      <c r="B207" s="4">
        <v>45689</v>
      </c>
      <c r="C207" s="5" t="s">
        <v>15</v>
      </c>
      <c r="D207" s="5" t="s">
        <v>28</v>
      </c>
      <c r="E207" s="5">
        <v>54300.87</v>
      </c>
      <c r="F207" s="5">
        <v>7875</v>
      </c>
      <c r="G207" s="5">
        <v>0.107</v>
      </c>
      <c r="H207" s="5">
        <v>19</v>
      </c>
      <c r="I207" s="5">
        <v>94.1</v>
      </c>
      <c r="J207" s="5">
        <v>0.95</v>
      </c>
      <c r="K207" s="5">
        <v>0</v>
      </c>
      <c r="L207" s="5">
        <v>3.7</v>
      </c>
      <c r="M207" s="5">
        <v>795464.47</v>
      </c>
      <c r="N207" s="5">
        <v>161150.51999999999</v>
      </c>
    </row>
    <row r="208" spans="1:14">
      <c r="A208" s="3" t="s">
        <v>73</v>
      </c>
      <c r="B208" s="4">
        <v>45717</v>
      </c>
      <c r="C208" s="5" t="s">
        <v>15</v>
      </c>
      <c r="D208" s="5" t="s">
        <v>28</v>
      </c>
      <c r="E208" s="5">
        <v>37983.35</v>
      </c>
      <c r="F208" s="5">
        <v>9283</v>
      </c>
      <c r="G208" s="5">
        <v>0.14899999999999999</v>
      </c>
      <c r="H208" s="5">
        <v>19</v>
      </c>
      <c r="I208" s="5">
        <v>83.2</v>
      </c>
      <c r="J208" s="5">
        <v>3.82</v>
      </c>
      <c r="K208" s="5">
        <v>0</v>
      </c>
      <c r="L208" s="5">
        <v>3.7</v>
      </c>
      <c r="M208" s="5">
        <v>671868.59</v>
      </c>
      <c r="N208" s="5">
        <v>71003.28</v>
      </c>
    </row>
    <row r="209" spans="1:14">
      <c r="A209" s="3" t="s">
        <v>73</v>
      </c>
      <c r="B209" s="4">
        <v>45748</v>
      </c>
      <c r="C209" s="5" t="s">
        <v>15</v>
      </c>
      <c r="D209" s="5" t="s">
        <v>28</v>
      </c>
      <c r="E209" s="5">
        <v>56413.83</v>
      </c>
      <c r="F209" s="5">
        <v>8303</v>
      </c>
      <c r="G209" s="5">
        <v>0.11600000000000001</v>
      </c>
      <c r="H209" s="5">
        <v>18</v>
      </c>
      <c r="I209" s="5">
        <v>93.6</v>
      </c>
      <c r="J209" s="5">
        <v>2.7</v>
      </c>
      <c r="K209" s="5">
        <v>0</v>
      </c>
      <c r="L209" s="5">
        <v>3.7</v>
      </c>
      <c r="M209" s="5">
        <v>675917.63</v>
      </c>
      <c r="N209" s="5">
        <v>112564.75</v>
      </c>
    </row>
    <row r="210" spans="1:14">
      <c r="A210" s="3" t="s">
        <v>74</v>
      </c>
      <c r="B210" s="4">
        <v>45658</v>
      </c>
      <c r="C210" s="5" t="s">
        <v>15</v>
      </c>
      <c r="D210" s="5" t="s">
        <v>18</v>
      </c>
      <c r="E210" s="5">
        <v>63457.19</v>
      </c>
      <c r="F210" s="5">
        <v>10125</v>
      </c>
      <c r="G210" s="5">
        <v>9.7000000000000003E-2</v>
      </c>
      <c r="H210" s="5">
        <v>24</v>
      </c>
      <c r="I210" s="5">
        <v>87</v>
      </c>
      <c r="J210" s="5">
        <v>3.84</v>
      </c>
      <c r="K210" s="5">
        <v>1</v>
      </c>
      <c r="L210" s="5">
        <v>3.7</v>
      </c>
      <c r="M210" s="5">
        <v>810446.53</v>
      </c>
      <c r="N210" s="5">
        <v>200575.34</v>
      </c>
    </row>
    <row r="211" spans="1:14">
      <c r="A211" s="3" t="s">
        <v>74</v>
      </c>
      <c r="B211" s="4">
        <v>45689</v>
      </c>
      <c r="C211" s="5" t="s">
        <v>15</v>
      </c>
      <c r="D211" s="5" t="s">
        <v>18</v>
      </c>
      <c r="E211" s="5">
        <v>62949.7</v>
      </c>
      <c r="F211" s="5">
        <v>9458</v>
      </c>
      <c r="G211" s="5">
        <v>0.17100000000000001</v>
      </c>
      <c r="H211" s="5">
        <v>19</v>
      </c>
      <c r="I211" s="5">
        <v>84.9</v>
      </c>
      <c r="J211" s="5">
        <v>5.09</v>
      </c>
      <c r="K211" s="5">
        <v>0</v>
      </c>
      <c r="L211" s="5">
        <v>3.3</v>
      </c>
      <c r="M211" s="5">
        <v>691288.19</v>
      </c>
      <c r="N211" s="5">
        <v>159074.14000000001</v>
      </c>
    </row>
    <row r="212" spans="1:14">
      <c r="A212" s="3" t="s">
        <v>74</v>
      </c>
      <c r="B212" s="4">
        <v>45717</v>
      </c>
      <c r="C212" s="5" t="s">
        <v>15</v>
      </c>
      <c r="D212" s="5" t="s">
        <v>18</v>
      </c>
      <c r="E212" s="5">
        <v>107970.19</v>
      </c>
      <c r="F212" s="5">
        <v>12870</v>
      </c>
      <c r="G212" s="5">
        <v>2.9000000000000001E-2</v>
      </c>
      <c r="H212" s="5">
        <v>31</v>
      </c>
      <c r="I212" s="5">
        <v>91.7</v>
      </c>
      <c r="J212" s="5">
        <v>3.82</v>
      </c>
      <c r="K212" s="5">
        <v>1</v>
      </c>
      <c r="L212" s="5">
        <v>3.7</v>
      </c>
      <c r="M212" s="5">
        <v>946833.54</v>
      </c>
      <c r="N212" s="5">
        <v>184540.31</v>
      </c>
    </row>
    <row r="213" spans="1:14">
      <c r="A213" s="3" t="s">
        <v>74</v>
      </c>
      <c r="B213" s="4">
        <v>45748</v>
      </c>
      <c r="C213" s="5" t="s">
        <v>15</v>
      </c>
      <c r="D213" s="5" t="s">
        <v>18</v>
      </c>
      <c r="E213" s="5">
        <v>49405.75</v>
      </c>
      <c r="F213" s="5">
        <v>9752</v>
      </c>
      <c r="G213" s="5">
        <v>9.2999999999999999E-2</v>
      </c>
      <c r="H213" s="5">
        <v>21</v>
      </c>
      <c r="I213" s="5">
        <v>87</v>
      </c>
      <c r="J213" s="5">
        <v>12.28</v>
      </c>
      <c r="K213" s="5">
        <v>0</v>
      </c>
      <c r="L213" s="5">
        <v>4.0999999999999996</v>
      </c>
      <c r="M213" s="5">
        <v>761963.23</v>
      </c>
      <c r="N213" s="5">
        <v>150113.60999999999</v>
      </c>
    </row>
    <row r="214" spans="1:14">
      <c r="A214" s="3" t="s">
        <v>75</v>
      </c>
      <c r="B214" s="4">
        <v>45658</v>
      </c>
      <c r="C214" s="5" t="s">
        <v>27</v>
      </c>
      <c r="D214" s="5" t="s">
        <v>16</v>
      </c>
      <c r="E214" s="5">
        <v>50887.46</v>
      </c>
      <c r="F214" s="5">
        <v>9505</v>
      </c>
      <c r="G214" s="5">
        <v>9.0999999999999998E-2</v>
      </c>
      <c r="H214" s="5">
        <v>25</v>
      </c>
      <c r="I214" s="5">
        <v>89.7</v>
      </c>
      <c r="J214" s="5">
        <v>2.8</v>
      </c>
      <c r="K214" s="5">
        <v>0</v>
      </c>
      <c r="L214" s="5">
        <v>4.3</v>
      </c>
      <c r="M214" s="5">
        <v>812152.6</v>
      </c>
      <c r="N214" s="5">
        <v>138419.43</v>
      </c>
    </row>
    <row r="215" spans="1:14">
      <c r="A215" s="3" t="s">
        <v>75</v>
      </c>
      <c r="B215" s="4">
        <v>45689</v>
      </c>
      <c r="C215" s="5" t="s">
        <v>27</v>
      </c>
      <c r="D215" s="5" t="s">
        <v>16</v>
      </c>
      <c r="E215" s="5">
        <v>41819.449999999997</v>
      </c>
      <c r="F215" s="5">
        <v>9412</v>
      </c>
      <c r="G215" s="5">
        <v>0.15</v>
      </c>
      <c r="H215" s="5">
        <v>22</v>
      </c>
      <c r="I215" s="5">
        <v>91</v>
      </c>
      <c r="J215" s="5">
        <v>3.67</v>
      </c>
      <c r="K215" s="5">
        <v>0</v>
      </c>
      <c r="L215" s="5">
        <v>4.2</v>
      </c>
      <c r="M215" s="5">
        <v>804975.5</v>
      </c>
      <c r="N215" s="5">
        <v>140054.5</v>
      </c>
    </row>
    <row r="216" spans="1:14">
      <c r="A216" s="3" t="s">
        <v>75</v>
      </c>
      <c r="B216" s="4">
        <v>45717</v>
      </c>
      <c r="C216" s="5" t="s">
        <v>27</v>
      </c>
      <c r="D216" s="5" t="s">
        <v>16</v>
      </c>
      <c r="E216" s="5">
        <v>35296.54</v>
      </c>
      <c r="F216" s="5">
        <v>9644</v>
      </c>
      <c r="G216" s="5">
        <v>0</v>
      </c>
      <c r="H216" s="5">
        <v>22</v>
      </c>
      <c r="I216" s="5">
        <v>88</v>
      </c>
      <c r="J216" s="5">
        <v>2.81</v>
      </c>
      <c r="K216" s="5">
        <v>0</v>
      </c>
      <c r="L216" s="5">
        <v>4.7</v>
      </c>
      <c r="M216" s="5">
        <v>752321.72</v>
      </c>
      <c r="N216" s="5">
        <v>137788.51</v>
      </c>
    </row>
    <row r="217" spans="1:14">
      <c r="A217" s="3" t="s">
        <v>75</v>
      </c>
      <c r="B217" s="4">
        <v>45748</v>
      </c>
      <c r="C217" s="5" t="s">
        <v>27</v>
      </c>
      <c r="D217" s="5" t="s">
        <v>16</v>
      </c>
      <c r="E217" s="5">
        <v>47391.09</v>
      </c>
      <c r="F217" s="5">
        <v>11224</v>
      </c>
      <c r="G217" s="5">
        <v>0.14699999999999999</v>
      </c>
      <c r="H217" s="5">
        <v>25</v>
      </c>
      <c r="I217" s="5">
        <v>88.4</v>
      </c>
      <c r="J217" s="5">
        <v>2.44</v>
      </c>
      <c r="K217" s="5">
        <v>0</v>
      </c>
      <c r="L217" s="5">
        <v>4.9000000000000004</v>
      </c>
      <c r="M217" s="5">
        <v>836908.24</v>
      </c>
      <c r="N217" s="5">
        <v>141090.26</v>
      </c>
    </row>
    <row r="218" spans="1:14">
      <c r="A218" s="3" t="s">
        <v>76</v>
      </c>
      <c r="B218" s="4">
        <v>45658</v>
      </c>
      <c r="C218" s="5" t="s">
        <v>20</v>
      </c>
      <c r="D218" s="5" t="s">
        <v>21</v>
      </c>
      <c r="E218" s="5">
        <v>69180.539999999994</v>
      </c>
      <c r="F218" s="5">
        <v>5394</v>
      </c>
      <c r="G218" s="5">
        <v>0.126</v>
      </c>
      <c r="H218" s="5">
        <v>12</v>
      </c>
      <c r="I218" s="5">
        <v>82.9</v>
      </c>
      <c r="J218" s="5">
        <v>3.27</v>
      </c>
      <c r="K218" s="5">
        <v>0</v>
      </c>
      <c r="L218" s="5">
        <v>3.3</v>
      </c>
      <c r="M218" s="5">
        <v>674289.1</v>
      </c>
      <c r="N218" s="5">
        <v>117773.79</v>
      </c>
    </row>
    <row r="219" spans="1:14">
      <c r="A219" s="3" t="s">
        <v>76</v>
      </c>
      <c r="B219" s="4">
        <v>45689</v>
      </c>
      <c r="C219" s="5" t="s">
        <v>20</v>
      </c>
      <c r="D219" s="5" t="s">
        <v>21</v>
      </c>
      <c r="E219" s="5">
        <v>33987.33</v>
      </c>
      <c r="F219" s="5">
        <v>5014</v>
      </c>
      <c r="G219" s="5">
        <v>0.246</v>
      </c>
      <c r="H219" s="5">
        <v>17</v>
      </c>
      <c r="I219" s="5">
        <v>94.3</v>
      </c>
      <c r="J219" s="5">
        <v>10.34</v>
      </c>
      <c r="K219" s="5">
        <v>0</v>
      </c>
      <c r="L219" s="5">
        <v>3.9</v>
      </c>
      <c r="M219" s="5">
        <v>622892.42000000004</v>
      </c>
      <c r="N219" s="5">
        <v>101032.52</v>
      </c>
    </row>
    <row r="220" spans="1:14">
      <c r="A220" s="3" t="s">
        <v>76</v>
      </c>
      <c r="B220" s="4">
        <v>45717</v>
      </c>
      <c r="C220" s="5" t="s">
        <v>20</v>
      </c>
      <c r="D220" s="5" t="s">
        <v>21</v>
      </c>
      <c r="E220" s="5">
        <v>58785.33</v>
      </c>
      <c r="F220" s="5">
        <v>4467</v>
      </c>
      <c r="G220" s="5">
        <v>0.22900000000000001</v>
      </c>
      <c r="H220" s="5">
        <v>14</v>
      </c>
      <c r="I220" s="5">
        <v>90.7</v>
      </c>
      <c r="J220" s="5">
        <v>1.92</v>
      </c>
      <c r="K220" s="5">
        <v>0</v>
      </c>
      <c r="L220" s="5">
        <v>3.7</v>
      </c>
      <c r="M220" s="5">
        <v>673348.56</v>
      </c>
      <c r="N220" s="5">
        <v>69464.59</v>
      </c>
    </row>
    <row r="221" spans="1:14">
      <c r="A221" s="3" t="s">
        <v>76</v>
      </c>
      <c r="B221" s="4">
        <v>45748</v>
      </c>
      <c r="C221" s="5" t="s">
        <v>20</v>
      </c>
      <c r="D221" s="5" t="s">
        <v>21</v>
      </c>
      <c r="E221" s="5">
        <v>16451.849999999999</v>
      </c>
      <c r="F221" s="5">
        <v>4678</v>
      </c>
      <c r="G221" s="5">
        <v>0.13300000000000001</v>
      </c>
      <c r="H221" s="5">
        <v>11</v>
      </c>
      <c r="I221" s="5">
        <v>95.9</v>
      </c>
      <c r="J221" s="5">
        <v>3.1</v>
      </c>
      <c r="K221" s="5">
        <v>0</v>
      </c>
      <c r="L221" s="5">
        <v>3.9</v>
      </c>
      <c r="M221" s="5">
        <v>606278.30000000005</v>
      </c>
      <c r="N221" s="5">
        <v>102213.26</v>
      </c>
    </row>
    <row r="222" spans="1:14">
      <c r="A222" s="3" t="s">
        <v>77</v>
      </c>
      <c r="B222" s="4">
        <v>45658</v>
      </c>
      <c r="C222" s="5" t="s">
        <v>15</v>
      </c>
      <c r="D222" s="5" t="s">
        <v>18</v>
      </c>
      <c r="E222" s="5">
        <v>53367.73</v>
      </c>
      <c r="F222" s="5">
        <v>7291</v>
      </c>
      <c r="G222" s="5">
        <v>0.14599999999999999</v>
      </c>
      <c r="H222" s="5">
        <v>18</v>
      </c>
      <c r="I222" s="5">
        <v>90.6</v>
      </c>
      <c r="J222" s="5">
        <v>6.34</v>
      </c>
      <c r="K222" s="5">
        <v>1</v>
      </c>
      <c r="L222" s="5">
        <v>3.8</v>
      </c>
      <c r="M222" s="5">
        <v>712219.81</v>
      </c>
      <c r="N222" s="5">
        <v>85906.54</v>
      </c>
    </row>
    <row r="223" spans="1:14">
      <c r="A223" s="3" t="s">
        <v>77</v>
      </c>
      <c r="B223" s="4">
        <v>45689</v>
      </c>
      <c r="C223" s="5" t="s">
        <v>15</v>
      </c>
      <c r="D223" s="5" t="s">
        <v>18</v>
      </c>
      <c r="E223" s="5">
        <v>27194.639999999999</v>
      </c>
      <c r="F223" s="5">
        <v>7404</v>
      </c>
      <c r="G223" s="5">
        <v>8.7999999999999995E-2</v>
      </c>
      <c r="H223" s="5">
        <v>18</v>
      </c>
      <c r="I223" s="5">
        <v>90.2</v>
      </c>
      <c r="J223" s="5">
        <v>1.2</v>
      </c>
      <c r="K223" s="5">
        <v>0</v>
      </c>
      <c r="L223" s="5">
        <v>3.4</v>
      </c>
      <c r="M223" s="5">
        <v>672670.54</v>
      </c>
      <c r="N223" s="5">
        <v>132684.18</v>
      </c>
    </row>
    <row r="224" spans="1:14">
      <c r="A224" s="3" t="s">
        <v>77</v>
      </c>
      <c r="B224" s="4">
        <v>45717</v>
      </c>
      <c r="C224" s="5" t="s">
        <v>15</v>
      </c>
      <c r="D224" s="5" t="s">
        <v>18</v>
      </c>
      <c r="E224" s="5">
        <v>66962.740000000005</v>
      </c>
      <c r="F224" s="5">
        <v>7880</v>
      </c>
      <c r="G224" s="5">
        <v>0.11600000000000001</v>
      </c>
      <c r="H224" s="5">
        <v>19</v>
      </c>
      <c r="I224" s="5">
        <v>90.4</v>
      </c>
      <c r="J224" s="5">
        <v>4.5</v>
      </c>
      <c r="K224" s="5">
        <v>0</v>
      </c>
      <c r="L224" s="5">
        <v>3.3</v>
      </c>
      <c r="M224" s="5">
        <v>732667.92</v>
      </c>
      <c r="N224" s="5">
        <v>128654.46</v>
      </c>
    </row>
    <row r="225" spans="1:14">
      <c r="A225" s="3" t="s">
        <v>77</v>
      </c>
      <c r="B225" s="4">
        <v>45748</v>
      </c>
      <c r="C225" s="5" t="s">
        <v>15</v>
      </c>
      <c r="D225" s="5" t="s">
        <v>18</v>
      </c>
      <c r="E225" s="5">
        <v>73540.990000000005</v>
      </c>
      <c r="F225" s="5">
        <v>8773</v>
      </c>
      <c r="G225" s="5">
        <v>3.5000000000000003E-2</v>
      </c>
      <c r="H225" s="5">
        <v>21</v>
      </c>
      <c r="I225" s="5">
        <v>84.4</v>
      </c>
      <c r="J225" s="5">
        <v>6.68</v>
      </c>
      <c r="K225" s="5">
        <v>0</v>
      </c>
      <c r="L225" s="5">
        <v>3.6</v>
      </c>
      <c r="M225" s="5">
        <v>723531.4</v>
      </c>
      <c r="N225" s="5">
        <v>108794.85</v>
      </c>
    </row>
    <row r="226" spans="1:14">
      <c r="A226" s="3" t="s">
        <v>78</v>
      </c>
      <c r="B226" s="4">
        <v>45658</v>
      </c>
      <c r="C226" s="5" t="s">
        <v>15</v>
      </c>
      <c r="D226" s="5" t="s">
        <v>28</v>
      </c>
      <c r="E226" s="5">
        <v>68212.289999999994</v>
      </c>
      <c r="F226" s="5">
        <v>4713</v>
      </c>
      <c r="G226" s="5">
        <v>0.19800000000000001</v>
      </c>
      <c r="H226" s="5">
        <v>15</v>
      </c>
      <c r="I226" s="5">
        <v>82.6</v>
      </c>
      <c r="J226" s="5">
        <v>4.07</v>
      </c>
      <c r="K226" s="5">
        <v>1</v>
      </c>
      <c r="L226" s="5">
        <v>3</v>
      </c>
      <c r="M226" s="5">
        <v>641564.6</v>
      </c>
      <c r="N226" s="5">
        <v>90468.96</v>
      </c>
    </row>
    <row r="227" spans="1:14">
      <c r="A227" s="3" t="s">
        <v>78</v>
      </c>
      <c r="B227" s="4">
        <v>45689</v>
      </c>
      <c r="C227" s="5" t="s">
        <v>15</v>
      </c>
      <c r="D227" s="5" t="s">
        <v>28</v>
      </c>
      <c r="E227" s="5">
        <v>57225.98</v>
      </c>
      <c r="F227" s="5">
        <v>2842</v>
      </c>
      <c r="G227" s="5">
        <v>0.112</v>
      </c>
      <c r="H227" s="5">
        <v>10</v>
      </c>
      <c r="I227" s="5">
        <v>79.5</v>
      </c>
      <c r="J227" s="5">
        <v>5.45</v>
      </c>
      <c r="K227" s="5">
        <v>0</v>
      </c>
      <c r="L227" s="5">
        <v>3.4</v>
      </c>
      <c r="M227" s="5">
        <v>536545.49</v>
      </c>
      <c r="N227" s="5">
        <v>97917.45</v>
      </c>
    </row>
    <row r="228" spans="1:14">
      <c r="A228" s="3" t="s">
        <v>78</v>
      </c>
      <c r="B228" s="4">
        <v>45717</v>
      </c>
      <c r="C228" s="5" t="s">
        <v>15</v>
      </c>
      <c r="D228" s="5" t="s">
        <v>28</v>
      </c>
      <c r="E228" s="5">
        <v>42932.02</v>
      </c>
      <c r="F228" s="5">
        <v>3872</v>
      </c>
      <c r="G228" s="5">
        <v>0.17100000000000001</v>
      </c>
      <c r="H228" s="5">
        <v>12</v>
      </c>
      <c r="I228" s="5">
        <v>83.2</v>
      </c>
      <c r="J228" s="5">
        <v>15.58</v>
      </c>
      <c r="K228" s="5">
        <v>0</v>
      </c>
      <c r="L228" s="5">
        <v>3.3</v>
      </c>
      <c r="M228" s="5">
        <v>527681.56000000006</v>
      </c>
      <c r="N228" s="5">
        <v>63153.05</v>
      </c>
    </row>
    <row r="229" spans="1:14">
      <c r="A229" s="3" t="s">
        <v>78</v>
      </c>
      <c r="B229" s="4">
        <v>45748</v>
      </c>
      <c r="C229" s="5" t="s">
        <v>15</v>
      </c>
      <c r="D229" s="5" t="s">
        <v>28</v>
      </c>
      <c r="E229" s="5">
        <v>39341.449999999997</v>
      </c>
      <c r="F229" s="5">
        <v>1375</v>
      </c>
      <c r="G229" s="5">
        <v>9.2999999999999999E-2</v>
      </c>
      <c r="H229" s="5">
        <v>5</v>
      </c>
      <c r="I229" s="5">
        <v>95</v>
      </c>
      <c r="J229" s="5">
        <v>5.32</v>
      </c>
      <c r="K229" s="5">
        <v>0</v>
      </c>
      <c r="M229" s="5">
        <v>529598.93999999994</v>
      </c>
      <c r="N229" s="5">
        <v>84334.33</v>
      </c>
    </row>
    <row r="230" spans="1:14">
      <c r="A230" s="3" t="s">
        <v>79</v>
      </c>
      <c r="B230" s="4">
        <v>45658</v>
      </c>
      <c r="C230" s="5" t="s">
        <v>15</v>
      </c>
      <c r="D230" s="5" t="s">
        <v>18</v>
      </c>
      <c r="E230" s="5">
        <v>37324.230000000003</v>
      </c>
      <c r="F230" s="5">
        <v>5957</v>
      </c>
      <c r="G230" s="5">
        <v>7.0999999999999994E-2</v>
      </c>
      <c r="H230" s="5">
        <v>12</v>
      </c>
      <c r="I230" s="5">
        <v>85.9</v>
      </c>
      <c r="J230" s="5">
        <v>0.37</v>
      </c>
      <c r="K230" s="5">
        <v>0</v>
      </c>
      <c r="L230" s="5">
        <v>3.8</v>
      </c>
      <c r="M230" s="5">
        <v>570963.31000000006</v>
      </c>
      <c r="N230" s="5">
        <v>87342.25</v>
      </c>
    </row>
    <row r="231" spans="1:14">
      <c r="A231" s="3" t="s">
        <v>79</v>
      </c>
      <c r="B231" s="4">
        <v>45689</v>
      </c>
      <c r="C231" s="5" t="s">
        <v>15</v>
      </c>
      <c r="D231" s="5" t="s">
        <v>18</v>
      </c>
      <c r="E231" s="5">
        <v>113736</v>
      </c>
      <c r="F231" s="5">
        <v>8961</v>
      </c>
      <c r="G231" s="5">
        <v>0.20200000000000001</v>
      </c>
      <c r="H231" s="5">
        <v>24</v>
      </c>
      <c r="I231" s="5">
        <v>86.2</v>
      </c>
      <c r="J231" s="5">
        <v>21.63</v>
      </c>
      <c r="K231" s="5">
        <v>0</v>
      </c>
      <c r="L231" s="5">
        <v>4</v>
      </c>
      <c r="M231" s="5">
        <v>870937.4</v>
      </c>
      <c r="N231" s="5">
        <v>175282.74</v>
      </c>
    </row>
    <row r="232" spans="1:14">
      <c r="A232" s="3" t="s">
        <v>79</v>
      </c>
      <c r="B232" s="4">
        <v>45717</v>
      </c>
      <c r="C232" s="5" t="s">
        <v>15</v>
      </c>
      <c r="D232" s="5" t="s">
        <v>18</v>
      </c>
      <c r="E232" s="5">
        <v>33173.949999999997</v>
      </c>
      <c r="F232" s="5">
        <v>6545</v>
      </c>
      <c r="G232" s="5">
        <v>0.16900000000000001</v>
      </c>
      <c r="H232" s="5">
        <v>15</v>
      </c>
      <c r="I232" s="5">
        <v>84.4</v>
      </c>
      <c r="J232" s="5">
        <v>2.48</v>
      </c>
      <c r="K232" s="5">
        <v>0</v>
      </c>
      <c r="L232" s="5">
        <v>3.9</v>
      </c>
      <c r="M232" s="5">
        <v>596969.27</v>
      </c>
      <c r="N232" s="5">
        <v>105669.51</v>
      </c>
    </row>
    <row r="233" spans="1:14">
      <c r="A233" s="3" t="s">
        <v>79</v>
      </c>
      <c r="B233" s="4">
        <v>45748</v>
      </c>
      <c r="C233" s="5" t="s">
        <v>15</v>
      </c>
      <c r="D233" s="5" t="s">
        <v>18</v>
      </c>
      <c r="E233" s="5">
        <v>25818.080000000002</v>
      </c>
      <c r="F233" s="5">
        <v>5457</v>
      </c>
      <c r="G233" s="5">
        <v>0</v>
      </c>
      <c r="H233" s="5">
        <v>11</v>
      </c>
      <c r="I233" s="5">
        <v>95.4</v>
      </c>
      <c r="K233" s="5">
        <v>0</v>
      </c>
      <c r="L233" s="5">
        <v>3.7</v>
      </c>
      <c r="M233" s="5">
        <v>647512.85</v>
      </c>
      <c r="N233" s="5">
        <v>153835.57</v>
      </c>
    </row>
    <row r="234" spans="1:14">
      <c r="A234" s="3" t="s">
        <v>80</v>
      </c>
      <c r="B234" s="4">
        <v>45658</v>
      </c>
      <c r="C234" s="5" t="s">
        <v>27</v>
      </c>
      <c r="D234" s="5" t="s">
        <v>16</v>
      </c>
      <c r="E234" s="5">
        <v>47241.919999999998</v>
      </c>
      <c r="F234" s="5">
        <v>4264</v>
      </c>
      <c r="G234" s="5">
        <v>6.9000000000000006E-2</v>
      </c>
      <c r="H234" s="5">
        <v>13</v>
      </c>
      <c r="I234" s="5">
        <v>95.3</v>
      </c>
      <c r="J234" s="5">
        <v>0.85</v>
      </c>
      <c r="K234" s="5">
        <v>0</v>
      </c>
      <c r="L234" s="5">
        <v>4.3</v>
      </c>
      <c r="M234" s="5">
        <v>658072.14</v>
      </c>
      <c r="N234" s="5">
        <v>110595.89</v>
      </c>
    </row>
    <row r="235" spans="1:14">
      <c r="A235" s="3" t="s">
        <v>80</v>
      </c>
      <c r="B235" s="4">
        <v>45689</v>
      </c>
      <c r="C235" s="5" t="s">
        <v>27</v>
      </c>
      <c r="D235" s="5" t="s">
        <v>16</v>
      </c>
      <c r="E235" s="5">
        <v>61650.79</v>
      </c>
      <c r="F235" s="5">
        <v>5321</v>
      </c>
      <c r="G235" s="5">
        <v>0.126</v>
      </c>
      <c r="H235" s="5">
        <v>17</v>
      </c>
      <c r="I235" s="5">
        <v>89.2</v>
      </c>
      <c r="J235" s="5">
        <v>2.13</v>
      </c>
      <c r="K235" s="5">
        <v>0</v>
      </c>
      <c r="L235" s="5">
        <v>4</v>
      </c>
      <c r="M235" s="5">
        <v>723305.11</v>
      </c>
      <c r="N235" s="5">
        <v>128468.7</v>
      </c>
    </row>
    <row r="236" spans="1:14">
      <c r="A236" s="3" t="s">
        <v>80</v>
      </c>
      <c r="B236" s="4">
        <v>45717</v>
      </c>
      <c r="C236" s="5" t="s">
        <v>27</v>
      </c>
      <c r="D236" s="5" t="s">
        <v>16</v>
      </c>
      <c r="E236" s="5">
        <v>62582.71</v>
      </c>
      <c r="F236" s="5">
        <v>5479</v>
      </c>
      <c r="G236" s="5">
        <v>4.8000000000000001E-2</v>
      </c>
      <c r="H236" s="5">
        <v>16</v>
      </c>
      <c r="I236" s="5">
        <v>81.2</v>
      </c>
      <c r="J236" s="5">
        <v>1.46</v>
      </c>
      <c r="K236" s="5">
        <v>0</v>
      </c>
      <c r="L236" s="5">
        <v>4.5</v>
      </c>
      <c r="M236" s="5">
        <v>640666.53</v>
      </c>
      <c r="N236" s="5">
        <v>134919.16</v>
      </c>
    </row>
    <row r="237" spans="1:14">
      <c r="A237" s="3" t="s">
        <v>80</v>
      </c>
      <c r="B237" s="4">
        <v>45748</v>
      </c>
      <c r="C237" s="5" t="s">
        <v>27</v>
      </c>
      <c r="D237" s="5" t="s">
        <v>16</v>
      </c>
      <c r="E237" s="5">
        <v>47944.14</v>
      </c>
      <c r="F237" s="5">
        <v>6169</v>
      </c>
      <c r="G237" s="5">
        <v>0.11899999999999999</v>
      </c>
      <c r="H237" s="5">
        <v>17</v>
      </c>
      <c r="I237" s="5">
        <v>92.2</v>
      </c>
      <c r="J237" s="5">
        <v>3.02</v>
      </c>
      <c r="K237" s="5">
        <v>0</v>
      </c>
      <c r="L237" s="5">
        <v>4.0999999999999996</v>
      </c>
      <c r="M237" s="5">
        <v>670629.48</v>
      </c>
      <c r="N237" s="5">
        <v>100140.8</v>
      </c>
    </row>
    <row r="238" spans="1:14">
      <c r="A238" s="3" t="s">
        <v>81</v>
      </c>
      <c r="B238" s="4">
        <v>45658</v>
      </c>
      <c r="C238" s="5" t="s">
        <v>27</v>
      </c>
      <c r="D238" s="5" t="s">
        <v>28</v>
      </c>
      <c r="E238" s="5">
        <v>46495.4</v>
      </c>
      <c r="F238" s="5">
        <v>9908</v>
      </c>
      <c r="G238" s="5">
        <v>0.121</v>
      </c>
      <c r="H238" s="5">
        <v>22</v>
      </c>
      <c r="I238" s="5">
        <v>89.4</v>
      </c>
      <c r="J238" s="5">
        <v>3.22</v>
      </c>
      <c r="K238" s="5">
        <v>0</v>
      </c>
      <c r="L238" s="5">
        <v>3.7</v>
      </c>
      <c r="M238" s="5">
        <v>721079.35</v>
      </c>
      <c r="N238" s="5">
        <v>115295.05</v>
      </c>
    </row>
    <row r="239" spans="1:14">
      <c r="A239" s="3" t="s">
        <v>81</v>
      </c>
      <c r="B239" s="4">
        <v>45689</v>
      </c>
      <c r="C239" s="5" t="s">
        <v>27</v>
      </c>
      <c r="D239" s="5" t="s">
        <v>28</v>
      </c>
      <c r="E239" s="5">
        <v>72961.95</v>
      </c>
      <c r="F239" s="5">
        <v>9996</v>
      </c>
      <c r="G239" s="5">
        <v>0.106</v>
      </c>
      <c r="H239" s="5">
        <v>22</v>
      </c>
      <c r="I239" s="5">
        <v>89.1</v>
      </c>
      <c r="J239" s="5">
        <v>15.66</v>
      </c>
      <c r="K239" s="5">
        <v>0</v>
      </c>
      <c r="L239" s="5">
        <v>3.4</v>
      </c>
      <c r="M239" s="5">
        <v>810355.02</v>
      </c>
      <c r="N239" s="5">
        <v>131510</v>
      </c>
    </row>
    <row r="240" spans="1:14">
      <c r="A240" s="3" t="s">
        <v>81</v>
      </c>
      <c r="B240" s="4">
        <v>45717</v>
      </c>
      <c r="C240" s="5" t="s">
        <v>27</v>
      </c>
      <c r="D240" s="5" t="s">
        <v>28</v>
      </c>
      <c r="E240" s="5">
        <v>59060.05</v>
      </c>
      <c r="F240" s="5">
        <v>9702</v>
      </c>
      <c r="G240" s="5">
        <v>0.20100000000000001</v>
      </c>
      <c r="H240" s="5">
        <v>23</v>
      </c>
      <c r="I240" s="5">
        <v>80.900000000000006</v>
      </c>
      <c r="J240" s="5">
        <v>6.96</v>
      </c>
      <c r="K240" s="5">
        <v>0</v>
      </c>
      <c r="L240" s="5">
        <v>3.2</v>
      </c>
      <c r="M240" s="5">
        <v>761919.25</v>
      </c>
      <c r="N240" s="5">
        <v>111893.06</v>
      </c>
    </row>
    <row r="241" spans="1:14">
      <c r="A241" s="3" t="s">
        <v>81</v>
      </c>
      <c r="B241" s="4">
        <v>45748</v>
      </c>
      <c r="C241" s="5" t="s">
        <v>27</v>
      </c>
      <c r="D241" s="5" t="s">
        <v>28</v>
      </c>
      <c r="E241" s="5">
        <v>26248.1</v>
      </c>
      <c r="F241" s="5">
        <v>9314</v>
      </c>
      <c r="G241" s="5">
        <v>0.186</v>
      </c>
      <c r="H241" s="5">
        <v>21</v>
      </c>
      <c r="I241" s="5">
        <v>83.7</v>
      </c>
      <c r="J241" s="5">
        <v>4.62</v>
      </c>
      <c r="K241" s="5">
        <v>0</v>
      </c>
      <c r="L241" s="5">
        <v>3.3</v>
      </c>
      <c r="M241" s="5">
        <v>737070.18</v>
      </c>
      <c r="N241" s="5">
        <v>117593.97</v>
      </c>
    </row>
    <row r="242" spans="1:14">
      <c r="A242" s="3" t="s">
        <v>82</v>
      </c>
      <c r="B242" s="4">
        <v>45658</v>
      </c>
      <c r="C242" s="5" t="s">
        <v>24</v>
      </c>
      <c r="D242" s="5" t="s">
        <v>21</v>
      </c>
      <c r="E242" s="5">
        <v>69900.12</v>
      </c>
      <c r="F242" s="5">
        <v>8055</v>
      </c>
      <c r="G242" s="5">
        <v>0.28100000000000003</v>
      </c>
      <c r="H242" s="5">
        <v>22</v>
      </c>
      <c r="I242" s="5">
        <v>85.6</v>
      </c>
      <c r="J242" s="5">
        <v>10.68</v>
      </c>
      <c r="K242" s="5">
        <v>1</v>
      </c>
      <c r="L242" s="5">
        <v>2.9</v>
      </c>
      <c r="M242" s="5">
        <v>776992.93</v>
      </c>
      <c r="N242" s="5">
        <v>101598.32</v>
      </c>
    </row>
    <row r="243" spans="1:14">
      <c r="A243" s="3" t="s">
        <v>82</v>
      </c>
      <c r="B243" s="4">
        <v>45689</v>
      </c>
      <c r="C243" s="5" t="s">
        <v>24</v>
      </c>
      <c r="D243" s="5" t="s">
        <v>21</v>
      </c>
      <c r="E243" s="5">
        <v>51781.599999999999</v>
      </c>
      <c r="F243" s="5">
        <v>5648</v>
      </c>
      <c r="G243" s="5">
        <v>5.8999999999999997E-2</v>
      </c>
      <c r="H243" s="5">
        <v>13</v>
      </c>
      <c r="I243" s="5">
        <v>85.5</v>
      </c>
      <c r="J243" s="5">
        <v>4.04</v>
      </c>
      <c r="K243" s="5">
        <v>0</v>
      </c>
      <c r="L243" s="5">
        <v>3.7</v>
      </c>
      <c r="M243" s="5">
        <v>676337.41</v>
      </c>
      <c r="N243" s="5">
        <v>104355.77</v>
      </c>
    </row>
    <row r="244" spans="1:14">
      <c r="A244" s="3" t="s">
        <v>82</v>
      </c>
      <c r="B244" s="4">
        <v>45717</v>
      </c>
      <c r="C244" s="5" t="s">
        <v>24</v>
      </c>
      <c r="D244" s="5" t="s">
        <v>21</v>
      </c>
      <c r="E244" s="5">
        <v>70799.64</v>
      </c>
      <c r="F244" s="5">
        <v>10076</v>
      </c>
      <c r="G244" s="5">
        <v>0.152</v>
      </c>
      <c r="H244" s="5">
        <v>24</v>
      </c>
      <c r="I244" s="5">
        <v>84.8</v>
      </c>
      <c r="J244" s="5">
        <v>1.87</v>
      </c>
      <c r="K244" s="5">
        <v>0</v>
      </c>
      <c r="L244" s="5">
        <v>3.5</v>
      </c>
      <c r="M244" s="5">
        <v>828219.67</v>
      </c>
      <c r="N244" s="5">
        <v>179806.87</v>
      </c>
    </row>
    <row r="245" spans="1:14">
      <c r="A245" s="3" t="s">
        <v>82</v>
      </c>
      <c r="B245" s="4">
        <v>45748</v>
      </c>
      <c r="C245" s="5" t="s">
        <v>24</v>
      </c>
      <c r="D245" s="5" t="s">
        <v>21</v>
      </c>
      <c r="E245" s="5">
        <v>53546.34</v>
      </c>
      <c r="F245" s="5">
        <v>8004</v>
      </c>
      <c r="G245" s="5">
        <v>0</v>
      </c>
      <c r="H245" s="5">
        <v>21</v>
      </c>
      <c r="I245" s="5">
        <v>95.2</v>
      </c>
      <c r="J245" s="5">
        <v>2.83</v>
      </c>
      <c r="K245" s="5">
        <v>0</v>
      </c>
      <c r="L245" s="5">
        <v>3</v>
      </c>
      <c r="M245" s="5">
        <v>763159.92</v>
      </c>
      <c r="N245" s="5">
        <v>177104.87</v>
      </c>
    </row>
    <row r="246" spans="1:14">
      <c r="A246" s="3" t="s">
        <v>83</v>
      </c>
      <c r="B246" s="4">
        <v>45658</v>
      </c>
      <c r="C246" s="5" t="s">
        <v>15</v>
      </c>
      <c r="D246" s="5" t="s">
        <v>18</v>
      </c>
      <c r="E246" s="5">
        <v>76942.2</v>
      </c>
      <c r="F246" s="5">
        <v>8934</v>
      </c>
      <c r="G246" s="5">
        <v>8.4000000000000005E-2</v>
      </c>
      <c r="H246" s="5">
        <v>20</v>
      </c>
      <c r="I246" s="5">
        <v>91</v>
      </c>
      <c r="J246" s="5">
        <v>0.95</v>
      </c>
      <c r="K246" s="5">
        <v>0</v>
      </c>
      <c r="L246" s="5">
        <v>3.2</v>
      </c>
      <c r="M246" s="5">
        <v>802001.68</v>
      </c>
      <c r="N246" s="5">
        <v>159715.82</v>
      </c>
    </row>
    <row r="247" spans="1:14">
      <c r="A247" s="3" t="s">
        <v>83</v>
      </c>
      <c r="B247" s="4">
        <v>45689</v>
      </c>
      <c r="C247" s="5" t="s">
        <v>15</v>
      </c>
      <c r="D247" s="5" t="s">
        <v>18</v>
      </c>
      <c r="E247" s="5">
        <v>48060.78</v>
      </c>
      <c r="F247" s="5">
        <v>8733</v>
      </c>
      <c r="G247" s="5">
        <v>0</v>
      </c>
      <c r="H247" s="5">
        <v>20</v>
      </c>
      <c r="I247" s="5">
        <v>89.9</v>
      </c>
      <c r="J247" s="5">
        <v>0.8</v>
      </c>
      <c r="K247" s="5">
        <v>0</v>
      </c>
      <c r="L247" s="5">
        <v>3.4</v>
      </c>
      <c r="M247" s="5">
        <v>750471.34</v>
      </c>
      <c r="N247" s="5">
        <v>133788.04</v>
      </c>
    </row>
    <row r="248" spans="1:14">
      <c r="A248" s="3" t="s">
        <v>83</v>
      </c>
      <c r="B248" s="4">
        <v>45717</v>
      </c>
      <c r="C248" s="5" t="s">
        <v>15</v>
      </c>
      <c r="D248" s="5" t="s">
        <v>18</v>
      </c>
      <c r="E248" s="5">
        <v>57390.04</v>
      </c>
      <c r="F248" s="5">
        <v>7374</v>
      </c>
      <c r="G248" s="5">
        <v>0.21</v>
      </c>
      <c r="H248" s="5">
        <v>21</v>
      </c>
      <c r="I248" s="5">
        <v>91.8</v>
      </c>
      <c r="J248" s="5">
        <v>0.2</v>
      </c>
      <c r="K248" s="5">
        <v>0</v>
      </c>
      <c r="L248" s="5">
        <v>3.1</v>
      </c>
      <c r="M248" s="5">
        <v>679230.86</v>
      </c>
      <c r="N248" s="5">
        <v>106927.58</v>
      </c>
    </row>
    <row r="249" spans="1:14">
      <c r="A249" s="3" t="s">
        <v>83</v>
      </c>
      <c r="B249" s="4">
        <v>45748</v>
      </c>
      <c r="C249" s="5" t="s">
        <v>15</v>
      </c>
      <c r="D249" s="5" t="s">
        <v>18</v>
      </c>
      <c r="E249" s="5">
        <v>21536.18</v>
      </c>
      <c r="F249" s="5">
        <v>8119</v>
      </c>
      <c r="G249" s="5">
        <v>0.22700000000000001</v>
      </c>
      <c r="H249" s="5">
        <v>20</v>
      </c>
      <c r="I249" s="5">
        <v>90.4</v>
      </c>
      <c r="J249" s="5">
        <v>1.7</v>
      </c>
      <c r="K249" s="5">
        <v>0</v>
      </c>
      <c r="L249" s="5">
        <v>3.3</v>
      </c>
      <c r="M249" s="5">
        <v>679888.74</v>
      </c>
      <c r="N249" s="5">
        <v>83406.89</v>
      </c>
    </row>
    <row r="250" spans="1:14">
      <c r="A250" s="3" t="s">
        <v>84</v>
      </c>
      <c r="B250" s="4">
        <v>45658</v>
      </c>
      <c r="C250" s="5" t="s">
        <v>20</v>
      </c>
      <c r="D250" s="5" t="s">
        <v>18</v>
      </c>
      <c r="E250" s="5">
        <v>40923.67</v>
      </c>
      <c r="F250" s="5">
        <v>3875</v>
      </c>
      <c r="G250" s="5">
        <v>0.15</v>
      </c>
      <c r="H250" s="5">
        <v>10</v>
      </c>
      <c r="I250" s="5">
        <v>96.1</v>
      </c>
      <c r="K250" s="5">
        <v>0</v>
      </c>
      <c r="L250" s="5">
        <v>3.8</v>
      </c>
      <c r="M250" s="5">
        <v>606783.67000000004</v>
      </c>
      <c r="N250" s="5">
        <v>74515.87</v>
      </c>
    </row>
    <row r="251" spans="1:14">
      <c r="A251" s="3" t="s">
        <v>84</v>
      </c>
      <c r="B251" s="4">
        <v>45689</v>
      </c>
      <c r="C251" s="5" t="s">
        <v>20</v>
      </c>
      <c r="D251" s="5" t="s">
        <v>18</v>
      </c>
      <c r="E251" s="5">
        <v>72932.55</v>
      </c>
      <c r="F251" s="5">
        <v>5765</v>
      </c>
      <c r="G251" s="5">
        <v>2.5999999999999999E-2</v>
      </c>
      <c r="H251" s="5">
        <v>17</v>
      </c>
      <c r="I251" s="5">
        <v>81.8</v>
      </c>
      <c r="J251" s="5">
        <v>5.0999999999999996</v>
      </c>
      <c r="K251" s="5">
        <v>0</v>
      </c>
      <c r="L251" s="5">
        <v>3.6</v>
      </c>
      <c r="M251" s="5">
        <v>642751.42000000004</v>
      </c>
      <c r="N251" s="5">
        <v>131942.15</v>
      </c>
    </row>
    <row r="252" spans="1:14">
      <c r="A252" s="3" t="s">
        <v>84</v>
      </c>
      <c r="B252" s="4">
        <v>45717</v>
      </c>
      <c r="C252" s="5" t="s">
        <v>20</v>
      </c>
      <c r="D252" s="5" t="s">
        <v>18</v>
      </c>
      <c r="E252" s="5">
        <v>38361.93</v>
      </c>
      <c r="F252" s="5">
        <v>6322</v>
      </c>
      <c r="G252" s="5">
        <v>0.27300000000000002</v>
      </c>
      <c r="H252" s="5">
        <v>15</v>
      </c>
      <c r="I252" s="5">
        <v>88.4</v>
      </c>
      <c r="J252" s="5">
        <v>0.83</v>
      </c>
      <c r="K252" s="5">
        <v>0</v>
      </c>
      <c r="L252" s="5">
        <v>4</v>
      </c>
      <c r="M252" s="5">
        <v>647953.78</v>
      </c>
      <c r="N252" s="5">
        <v>118497.43</v>
      </c>
    </row>
    <row r="253" spans="1:14">
      <c r="A253" s="3" t="s">
        <v>84</v>
      </c>
      <c r="B253" s="4">
        <v>45748</v>
      </c>
      <c r="C253" s="5" t="s">
        <v>20</v>
      </c>
      <c r="D253" s="5" t="s">
        <v>18</v>
      </c>
      <c r="E253" s="5">
        <v>97480.94</v>
      </c>
      <c r="F253" s="5">
        <v>6840</v>
      </c>
      <c r="G253" s="5">
        <v>8.6999999999999994E-2</v>
      </c>
      <c r="H253" s="5">
        <v>14</v>
      </c>
      <c r="I253" s="5">
        <v>79.2</v>
      </c>
      <c r="J253" s="5">
        <v>1.1399999999999999</v>
      </c>
      <c r="K253" s="5">
        <v>0</v>
      </c>
      <c r="L253" s="5">
        <v>4</v>
      </c>
      <c r="M253" s="5">
        <v>729440.45</v>
      </c>
      <c r="N253" s="5">
        <v>87614.29</v>
      </c>
    </row>
    <row r="254" spans="1:14">
      <c r="A254" s="3" t="s">
        <v>85</v>
      </c>
      <c r="B254" s="4">
        <v>45658</v>
      </c>
      <c r="C254" s="5" t="s">
        <v>24</v>
      </c>
      <c r="D254" s="5" t="s">
        <v>21</v>
      </c>
      <c r="E254" s="5">
        <v>81801.8</v>
      </c>
      <c r="F254" s="5">
        <v>6782</v>
      </c>
      <c r="G254" s="5">
        <v>0.05</v>
      </c>
      <c r="H254" s="5">
        <v>16</v>
      </c>
      <c r="I254" s="5">
        <v>99</v>
      </c>
      <c r="J254" s="5">
        <v>9.5399999999999991</v>
      </c>
      <c r="K254" s="5">
        <v>0</v>
      </c>
      <c r="L254" s="5">
        <v>3.7</v>
      </c>
      <c r="M254" s="5">
        <v>764949</v>
      </c>
      <c r="N254" s="5">
        <v>148322.43</v>
      </c>
    </row>
    <row r="255" spans="1:14">
      <c r="A255" s="3" t="s">
        <v>85</v>
      </c>
      <c r="B255" s="4">
        <v>45689</v>
      </c>
      <c r="C255" s="5" t="s">
        <v>24</v>
      </c>
      <c r="D255" s="5" t="s">
        <v>21</v>
      </c>
      <c r="E255" s="5">
        <v>63582.11</v>
      </c>
      <c r="F255" s="5">
        <v>6856</v>
      </c>
      <c r="G255" s="5">
        <v>7.3999999999999996E-2</v>
      </c>
      <c r="H255" s="5">
        <v>17</v>
      </c>
      <c r="I255" s="5">
        <v>89.5</v>
      </c>
      <c r="J255" s="5">
        <v>5.48</v>
      </c>
      <c r="K255" s="5">
        <v>0</v>
      </c>
      <c r="L255" s="5">
        <v>3.2</v>
      </c>
      <c r="M255" s="5">
        <v>799046.94</v>
      </c>
      <c r="N255" s="5">
        <v>144553.64000000001</v>
      </c>
    </row>
    <row r="256" spans="1:14">
      <c r="A256" s="3" t="s">
        <v>85</v>
      </c>
      <c r="B256" s="4">
        <v>45717</v>
      </c>
      <c r="C256" s="5" t="s">
        <v>24</v>
      </c>
      <c r="D256" s="5" t="s">
        <v>21</v>
      </c>
      <c r="E256" s="5">
        <v>75412.740000000005</v>
      </c>
      <c r="F256" s="5">
        <v>5641</v>
      </c>
      <c r="G256" s="5">
        <v>5.8999999999999997E-2</v>
      </c>
      <c r="H256" s="5">
        <v>13</v>
      </c>
      <c r="I256" s="5">
        <v>87.9</v>
      </c>
      <c r="J256" s="5">
        <v>0.84</v>
      </c>
      <c r="K256" s="5">
        <v>0</v>
      </c>
      <c r="L256" s="5">
        <v>3.6</v>
      </c>
      <c r="M256" s="5">
        <v>720079.54</v>
      </c>
      <c r="N256" s="5">
        <v>119499.47</v>
      </c>
    </row>
    <row r="257" spans="1:14">
      <c r="A257" s="3" t="s">
        <v>85</v>
      </c>
      <c r="B257" s="4">
        <v>45748</v>
      </c>
      <c r="C257" s="5" t="s">
        <v>24</v>
      </c>
      <c r="D257" s="5" t="s">
        <v>21</v>
      </c>
      <c r="E257" s="5">
        <v>36290.080000000002</v>
      </c>
      <c r="F257" s="5">
        <v>5787</v>
      </c>
      <c r="G257" s="5">
        <v>0</v>
      </c>
      <c r="H257" s="5">
        <v>17</v>
      </c>
      <c r="I257" s="5">
        <v>88.3</v>
      </c>
      <c r="J257" s="5">
        <v>4.1900000000000004</v>
      </c>
      <c r="K257" s="5">
        <v>0</v>
      </c>
      <c r="L257" s="5">
        <v>4.0999999999999996</v>
      </c>
      <c r="M257" s="5">
        <v>612390.14</v>
      </c>
      <c r="N257" s="5">
        <v>108985.74</v>
      </c>
    </row>
    <row r="258" spans="1:14">
      <c r="A258" s="3" t="s">
        <v>86</v>
      </c>
      <c r="B258" s="4">
        <v>45658</v>
      </c>
      <c r="C258" s="5" t="s">
        <v>24</v>
      </c>
      <c r="D258" s="5" t="s">
        <v>28</v>
      </c>
      <c r="E258" s="5">
        <v>65272.58</v>
      </c>
      <c r="F258" s="5">
        <v>8165</v>
      </c>
      <c r="G258" s="5">
        <v>5.0999999999999997E-2</v>
      </c>
      <c r="H258" s="5">
        <v>19</v>
      </c>
      <c r="I258" s="5">
        <v>87.8</v>
      </c>
      <c r="J258" s="5">
        <v>1.26</v>
      </c>
      <c r="K258" s="5">
        <v>1</v>
      </c>
      <c r="L258" s="5">
        <v>4.3</v>
      </c>
      <c r="M258" s="5">
        <v>840108.12</v>
      </c>
      <c r="N258" s="5">
        <v>126587.01</v>
      </c>
    </row>
    <row r="259" spans="1:14">
      <c r="A259" s="3" t="s">
        <v>86</v>
      </c>
      <c r="B259" s="4">
        <v>45689</v>
      </c>
      <c r="C259" s="5" t="s">
        <v>24</v>
      </c>
      <c r="D259" s="5" t="s">
        <v>28</v>
      </c>
      <c r="E259" s="5">
        <v>28670.43</v>
      </c>
      <c r="F259" s="5">
        <v>7574</v>
      </c>
      <c r="G259" s="5">
        <v>0.114</v>
      </c>
      <c r="H259" s="5">
        <v>19</v>
      </c>
      <c r="I259" s="5">
        <v>82.7</v>
      </c>
      <c r="J259" s="5">
        <v>2.74</v>
      </c>
      <c r="K259" s="5">
        <v>0</v>
      </c>
      <c r="L259" s="5">
        <v>4.5999999999999996</v>
      </c>
      <c r="M259" s="5">
        <v>697888.09</v>
      </c>
      <c r="N259" s="5">
        <v>116249.87</v>
      </c>
    </row>
    <row r="260" spans="1:14">
      <c r="A260" s="3" t="s">
        <v>86</v>
      </c>
      <c r="B260" s="4">
        <v>45717</v>
      </c>
      <c r="C260" s="5" t="s">
        <v>24</v>
      </c>
      <c r="D260" s="5" t="s">
        <v>28</v>
      </c>
      <c r="E260" s="5">
        <v>44189.34</v>
      </c>
      <c r="F260" s="5">
        <v>8634</v>
      </c>
      <c r="G260" s="5">
        <v>0.14299999999999999</v>
      </c>
      <c r="H260" s="5">
        <v>19</v>
      </c>
      <c r="I260" s="5">
        <v>87.5</v>
      </c>
      <c r="J260" s="5">
        <v>3.69</v>
      </c>
      <c r="K260" s="5">
        <v>0</v>
      </c>
      <c r="L260" s="5">
        <v>4.4000000000000004</v>
      </c>
      <c r="M260" s="5">
        <v>746115.59</v>
      </c>
      <c r="N260" s="5">
        <v>94662.96</v>
      </c>
    </row>
    <row r="261" spans="1:14">
      <c r="A261" s="3" t="s">
        <v>86</v>
      </c>
      <c r="B261" s="4">
        <v>45748</v>
      </c>
      <c r="C261" s="5" t="s">
        <v>24</v>
      </c>
      <c r="D261" s="5" t="s">
        <v>28</v>
      </c>
      <c r="E261" s="5">
        <v>38397.82</v>
      </c>
      <c r="F261" s="5">
        <v>7836</v>
      </c>
      <c r="G261" s="5">
        <v>7.0000000000000001E-3</v>
      </c>
      <c r="H261" s="5">
        <v>21</v>
      </c>
      <c r="I261" s="5">
        <v>92.2</v>
      </c>
      <c r="J261" s="5">
        <v>1.82</v>
      </c>
      <c r="K261" s="5">
        <v>0</v>
      </c>
      <c r="L261" s="5">
        <v>3.6</v>
      </c>
      <c r="M261" s="5">
        <v>776110.32</v>
      </c>
      <c r="N261" s="5">
        <v>139676.21</v>
      </c>
    </row>
    <row r="262" spans="1:14">
      <c r="A262" s="3" t="s">
        <v>87</v>
      </c>
      <c r="B262" s="4">
        <v>45658</v>
      </c>
      <c r="C262" s="5" t="s">
        <v>27</v>
      </c>
      <c r="D262" s="5" t="s">
        <v>18</v>
      </c>
      <c r="E262" s="5">
        <v>14519.37</v>
      </c>
      <c r="F262" s="5">
        <v>3047</v>
      </c>
      <c r="G262" s="5">
        <v>0.13500000000000001</v>
      </c>
      <c r="H262" s="5">
        <v>10</v>
      </c>
      <c r="I262" s="5">
        <v>90.3</v>
      </c>
      <c r="J262" s="5">
        <v>6.62</v>
      </c>
      <c r="K262" s="5">
        <v>0</v>
      </c>
      <c r="L262" s="5">
        <v>4.2</v>
      </c>
      <c r="M262" s="5">
        <v>528852.62</v>
      </c>
      <c r="N262" s="5">
        <v>68426.210000000006</v>
      </c>
    </row>
    <row r="263" spans="1:14">
      <c r="A263" s="3" t="s">
        <v>87</v>
      </c>
      <c r="B263" s="4">
        <v>45689</v>
      </c>
      <c r="C263" s="5" t="s">
        <v>27</v>
      </c>
      <c r="D263" s="5" t="s">
        <v>18</v>
      </c>
      <c r="E263" s="5">
        <v>43288.2</v>
      </c>
      <c r="F263" s="5">
        <v>4783</v>
      </c>
      <c r="G263" s="5">
        <v>0.16900000000000001</v>
      </c>
      <c r="H263" s="5">
        <v>13</v>
      </c>
      <c r="I263" s="5">
        <v>87.3</v>
      </c>
      <c r="K263" s="5">
        <v>0</v>
      </c>
      <c r="L263" s="5">
        <v>4.2</v>
      </c>
      <c r="M263" s="5">
        <v>605751.32999999996</v>
      </c>
      <c r="N263" s="5">
        <v>60685.53</v>
      </c>
    </row>
    <row r="264" spans="1:14">
      <c r="A264" s="3" t="s">
        <v>87</v>
      </c>
      <c r="B264" s="4">
        <v>45717</v>
      </c>
      <c r="C264" s="5" t="s">
        <v>27</v>
      </c>
      <c r="D264" s="5" t="s">
        <v>18</v>
      </c>
      <c r="E264" s="5">
        <v>51450.55</v>
      </c>
      <c r="F264" s="5">
        <v>4902</v>
      </c>
      <c r="G264" s="5">
        <v>8.5999999999999993E-2</v>
      </c>
      <c r="H264" s="5">
        <v>11</v>
      </c>
      <c r="I264" s="5">
        <v>83.7</v>
      </c>
      <c r="J264" s="5">
        <v>6.92</v>
      </c>
      <c r="K264" s="5">
        <v>1</v>
      </c>
      <c r="L264" s="5">
        <v>4.2</v>
      </c>
      <c r="M264" s="5">
        <v>677640.65</v>
      </c>
      <c r="N264" s="5">
        <v>111610.89</v>
      </c>
    </row>
    <row r="265" spans="1:14">
      <c r="A265" s="3" t="s">
        <v>87</v>
      </c>
      <c r="B265" s="4">
        <v>45748</v>
      </c>
      <c r="C265" s="5" t="s">
        <v>27</v>
      </c>
      <c r="D265" s="5" t="s">
        <v>18</v>
      </c>
      <c r="E265" s="5">
        <v>58688.26</v>
      </c>
      <c r="F265" s="5">
        <v>4022</v>
      </c>
      <c r="G265" s="5">
        <v>0.217</v>
      </c>
      <c r="H265" s="5">
        <v>12</v>
      </c>
      <c r="I265" s="5">
        <v>93.8</v>
      </c>
      <c r="J265" s="5">
        <v>11.78</v>
      </c>
      <c r="K265" s="5">
        <v>0</v>
      </c>
      <c r="L265" s="5">
        <v>3.7</v>
      </c>
      <c r="M265" s="5">
        <v>636613.23</v>
      </c>
      <c r="N265" s="5">
        <v>78908.350000000006</v>
      </c>
    </row>
    <row r="266" spans="1:14">
      <c r="A266" s="3" t="s">
        <v>88</v>
      </c>
      <c r="B266" s="4">
        <v>45658</v>
      </c>
      <c r="C266" s="5" t="s">
        <v>15</v>
      </c>
      <c r="D266" s="5" t="s">
        <v>18</v>
      </c>
      <c r="E266" s="5">
        <v>58981.91</v>
      </c>
      <c r="F266" s="5">
        <v>7324</v>
      </c>
      <c r="G266" s="5">
        <v>9.4E-2</v>
      </c>
      <c r="H266" s="5">
        <v>15</v>
      </c>
      <c r="I266" s="5">
        <v>95.8</v>
      </c>
      <c r="J266" s="5">
        <v>0.5</v>
      </c>
      <c r="K266" s="5">
        <v>0</v>
      </c>
      <c r="L266" s="5">
        <v>3.5</v>
      </c>
      <c r="M266" s="5">
        <v>708985.19</v>
      </c>
      <c r="N266" s="5">
        <v>125368.16</v>
      </c>
    </row>
    <row r="267" spans="1:14">
      <c r="A267" s="3" t="s">
        <v>88</v>
      </c>
      <c r="B267" s="4">
        <v>45689</v>
      </c>
      <c r="C267" s="5" t="s">
        <v>15</v>
      </c>
      <c r="D267" s="5" t="s">
        <v>18</v>
      </c>
      <c r="E267" s="5">
        <v>73454.539999999994</v>
      </c>
      <c r="F267" s="5">
        <v>8129</v>
      </c>
      <c r="G267" s="5">
        <v>0.21099999999999999</v>
      </c>
      <c r="H267" s="5">
        <v>20</v>
      </c>
      <c r="I267" s="5">
        <v>85.2</v>
      </c>
      <c r="J267" s="5">
        <v>0.88</v>
      </c>
      <c r="K267" s="5">
        <v>0</v>
      </c>
      <c r="L267" s="5">
        <v>3.7</v>
      </c>
      <c r="M267" s="5">
        <v>767792.94</v>
      </c>
      <c r="N267" s="5">
        <v>96235.77</v>
      </c>
    </row>
    <row r="268" spans="1:14">
      <c r="A268" s="3" t="s">
        <v>88</v>
      </c>
      <c r="B268" s="4">
        <v>45717</v>
      </c>
      <c r="C268" s="5" t="s">
        <v>15</v>
      </c>
      <c r="D268" s="5" t="s">
        <v>18</v>
      </c>
      <c r="E268" s="5">
        <v>56602.39</v>
      </c>
      <c r="F268" s="5">
        <v>7969</v>
      </c>
      <c r="G268" s="5">
        <v>0.17</v>
      </c>
      <c r="H268" s="5">
        <v>21</v>
      </c>
      <c r="I268" s="5">
        <v>88.3</v>
      </c>
      <c r="J268" s="5">
        <v>2.25</v>
      </c>
      <c r="K268" s="5">
        <v>0</v>
      </c>
      <c r="L268" s="5">
        <v>3.7</v>
      </c>
      <c r="M268" s="5">
        <v>745580.51</v>
      </c>
      <c r="N268" s="5">
        <v>116273.68</v>
      </c>
    </row>
    <row r="269" spans="1:14">
      <c r="A269" s="3" t="s">
        <v>88</v>
      </c>
      <c r="B269" s="4">
        <v>45748</v>
      </c>
      <c r="C269" s="5" t="s">
        <v>15</v>
      </c>
      <c r="D269" s="5" t="s">
        <v>18</v>
      </c>
      <c r="E269" s="5">
        <v>67722.289999999994</v>
      </c>
      <c r="F269" s="5">
        <v>7240</v>
      </c>
      <c r="G269" s="5">
        <v>2.5999999999999999E-2</v>
      </c>
      <c r="H269" s="5">
        <v>15</v>
      </c>
      <c r="I269" s="5">
        <v>92.9</v>
      </c>
      <c r="J269" s="5">
        <v>0.28999999999999998</v>
      </c>
      <c r="K269" s="5">
        <v>0</v>
      </c>
      <c r="L269" s="5">
        <v>3.5</v>
      </c>
      <c r="M269" s="5">
        <v>762328.31</v>
      </c>
      <c r="N269" s="5">
        <v>159158.19</v>
      </c>
    </row>
    <row r="270" spans="1:14">
      <c r="A270" s="3" t="s">
        <v>89</v>
      </c>
      <c r="B270" s="4">
        <v>45658</v>
      </c>
      <c r="C270" s="5" t="s">
        <v>15</v>
      </c>
      <c r="D270" s="5" t="s">
        <v>28</v>
      </c>
      <c r="E270" s="5">
        <v>48752.92</v>
      </c>
      <c r="F270" s="5">
        <v>8052</v>
      </c>
      <c r="G270" s="5">
        <v>0.106</v>
      </c>
      <c r="H270" s="5">
        <v>16</v>
      </c>
      <c r="I270" s="5">
        <v>94.9</v>
      </c>
      <c r="J270" s="5">
        <v>0.65</v>
      </c>
      <c r="K270" s="5">
        <v>0</v>
      </c>
      <c r="L270" s="5">
        <v>3.6</v>
      </c>
      <c r="M270" s="5">
        <v>660633.99</v>
      </c>
      <c r="N270" s="5">
        <v>118768.66</v>
      </c>
    </row>
    <row r="271" spans="1:14">
      <c r="A271" s="3" t="s">
        <v>89</v>
      </c>
      <c r="B271" s="4">
        <v>45689</v>
      </c>
      <c r="C271" s="5" t="s">
        <v>15</v>
      </c>
      <c r="D271" s="5" t="s">
        <v>28</v>
      </c>
      <c r="E271" s="5">
        <v>23914.97</v>
      </c>
      <c r="F271" s="5">
        <v>8018</v>
      </c>
      <c r="G271" s="5">
        <v>0.13900000000000001</v>
      </c>
      <c r="H271" s="5">
        <v>20</v>
      </c>
      <c r="I271" s="5">
        <v>89</v>
      </c>
      <c r="J271" s="5">
        <v>0.2</v>
      </c>
      <c r="K271" s="5">
        <v>0</v>
      </c>
      <c r="L271" s="5">
        <v>3.5</v>
      </c>
      <c r="M271" s="5">
        <v>739374.56</v>
      </c>
      <c r="N271" s="5">
        <v>121032.29</v>
      </c>
    </row>
    <row r="272" spans="1:14">
      <c r="A272" s="3" t="s">
        <v>89</v>
      </c>
      <c r="B272" s="4">
        <v>45717</v>
      </c>
      <c r="C272" s="5" t="s">
        <v>15</v>
      </c>
      <c r="D272" s="5" t="s">
        <v>28</v>
      </c>
      <c r="E272" s="5">
        <v>61995.3</v>
      </c>
      <c r="F272" s="5">
        <v>10192</v>
      </c>
      <c r="G272" s="5">
        <v>0.19800000000000001</v>
      </c>
      <c r="H272" s="5">
        <v>21</v>
      </c>
      <c r="I272" s="5">
        <v>87.6</v>
      </c>
      <c r="J272" s="5">
        <v>3.63</v>
      </c>
      <c r="K272" s="5">
        <v>1</v>
      </c>
      <c r="L272" s="5">
        <v>3.8</v>
      </c>
      <c r="M272" s="5">
        <v>799756.46</v>
      </c>
      <c r="N272" s="5">
        <v>105052.93</v>
      </c>
    </row>
    <row r="273" spans="1:14">
      <c r="A273" s="3" t="s">
        <v>89</v>
      </c>
      <c r="B273" s="4">
        <v>45748</v>
      </c>
      <c r="C273" s="5" t="s">
        <v>15</v>
      </c>
      <c r="D273" s="5" t="s">
        <v>28</v>
      </c>
      <c r="E273" s="5">
        <v>29344.93</v>
      </c>
      <c r="F273" s="5">
        <v>7446</v>
      </c>
      <c r="G273" s="5">
        <v>0.111</v>
      </c>
      <c r="H273" s="5">
        <v>15</v>
      </c>
      <c r="I273" s="5">
        <v>86.2</v>
      </c>
      <c r="J273" s="5">
        <v>0.2</v>
      </c>
      <c r="K273" s="5">
        <v>0</v>
      </c>
      <c r="L273" s="5">
        <v>3.2</v>
      </c>
      <c r="M273" s="5">
        <v>593343</v>
      </c>
      <c r="N273" s="5">
        <v>82832.240000000005</v>
      </c>
    </row>
    <row r="274" spans="1:14">
      <c r="A274" s="3" t="s">
        <v>90</v>
      </c>
      <c r="B274" s="4">
        <v>45658</v>
      </c>
      <c r="C274" s="5" t="s">
        <v>27</v>
      </c>
      <c r="D274" s="5" t="s">
        <v>18</v>
      </c>
      <c r="E274" s="5">
        <v>50532.17</v>
      </c>
      <c r="F274" s="5">
        <v>5689</v>
      </c>
      <c r="G274" s="5">
        <v>5.1999999999999998E-2</v>
      </c>
      <c r="H274" s="5">
        <v>17</v>
      </c>
      <c r="I274" s="5">
        <v>85.6</v>
      </c>
      <c r="J274" s="5">
        <v>6.23</v>
      </c>
      <c r="K274" s="5">
        <v>0</v>
      </c>
      <c r="L274" s="5">
        <v>3.3</v>
      </c>
      <c r="M274" s="5">
        <v>645039.97</v>
      </c>
      <c r="N274" s="5">
        <v>83093.33</v>
      </c>
    </row>
    <row r="275" spans="1:14">
      <c r="A275" s="3" t="s">
        <v>90</v>
      </c>
      <c r="B275" s="4">
        <v>45689</v>
      </c>
      <c r="C275" s="5" t="s">
        <v>27</v>
      </c>
      <c r="D275" s="5" t="s">
        <v>18</v>
      </c>
      <c r="E275" s="5">
        <v>17562.57</v>
      </c>
      <c r="F275" s="5">
        <v>3326</v>
      </c>
      <c r="G275" s="5">
        <v>0.153</v>
      </c>
      <c r="H275" s="5">
        <v>14</v>
      </c>
      <c r="I275" s="5">
        <v>88.1</v>
      </c>
      <c r="J275" s="5">
        <v>1.04</v>
      </c>
      <c r="K275" s="5">
        <v>0</v>
      </c>
      <c r="L275" s="5">
        <v>3.1</v>
      </c>
      <c r="M275" s="5">
        <v>561597.32999999996</v>
      </c>
      <c r="N275" s="5">
        <v>75072.75</v>
      </c>
    </row>
    <row r="276" spans="1:14">
      <c r="A276" s="3" t="s">
        <v>90</v>
      </c>
      <c r="B276" s="4">
        <v>45717</v>
      </c>
      <c r="C276" s="5" t="s">
        <v>27</v>
      </c>
      <c r="D276" s="5" t="s">
        <v>18</v>
      </c>
      <c r="E276" s="5">
        <v>47648.71</v>
      </c>
      <c r="F276" s="5">
        <v>5767</v>
      </c>
      <c r="G276" s="5">
        <v>0.14099999999999999</v>
      </c>
      <c r="H276" s="5">
        <v>17</v>
      </c>
      <c r="I276" s="5">
        <v>89.8</v>
      </c>
      <c r="J276" s="5">
        <v>1.76</v>
      </c>
      <c r="K276" s="5">
        <v>0</v>
      </c>
      <c r="L276" s="5">
        <v>3.1</v>
      </c>
      <c r="M276" s="5">
        <v>635837.74</v>
      </c>
      <c r="N276" s="5">
        <v>114740.64</v>
      </c>
    </row>
    <row r="277" spans="1:14">
      <c r="A277" s="3" t="s">
        <v>90</v>
      </c>
      <c r="B277" s="4">
        <v>45748</v>
      </c>
      <c r="C277" s="5" t="s">
        <v>27</v>
      </c>
      <c r="D277" s="5" t="s">
        <v>18</v>
      </c>
      <c r="E277" s="5">
        <v>38297.58</v>
      </c>
      <c r="F277" s="5">
        <v>5893</v>
      </c>
      <c r="G277" s="5">
        <v>0.247</v>
      </c>
      <c r="H277" s="5">
        <v>18</v>
      </c>
      <c r="I277" s="5">
        <v>77.599999999999994</v>
      </c>
      <c r="J277" s="5">
        <v>2.86</v>
      </c>
      <c r="K277" s="5">
        <v>0</v>
      </c>
      <c r="L277" s="5">
        <v>3</v>
      </c>
      <c r="M277" s="5">
        <v>686737.87</v>
      </c>
      <c r="N277" s="5">
        <v>83839.67</v>
      </c>
    </row>
    <row r="278" spans="1:14">
      <c r="A278" s="3" t="s">
        <v>91</v>
      </c>
      <c r="B278" s="4">
        <v>45658</v>
      </c>
      <c r="C278" s="5" t="s">
        <v>24</v>
      </c>
      <c r="D278" s="5" t="s">
        <v>16</v>
      </c>
      <c r="E278" s="5">
        <v>61784.11</v>
      </c>
      <c r="F278" s="5">
        <v>8564</v>
      </c>
      <c r="G278" s="5">
        <v>0.13</v>
      </c>
      <c r="H278" s="5">
        <v>17</v>
      </c>
      <c r="I278" s="5">
        <v>87.4</v>
      </c>
      <c r="J278" s="5">
        <v>18.14</v>
      </c>
      <c r="K278" s="5">
        <v>1</v>
      </c>
      <c r="L278" s="5">
        <v>3.4</v>
      </c>
      <c r="M278" s="5">
        <v>673076.34</v>
      </c>
      <c r="N278" s="5">
        <v>93899.76</v>
      </c>
    </row>
    <row r="279" spans="1:14">
      <c r="A279" s="3" t="s">
        <v>91</v>
      </c>
      <c r="B279" s="4">
        <v>45689</v>
      </c>
      <c r="C279" s="5" t="s">
        <v>24</v>
      </c>
      <c r="D279" s="5" t="s">
        <v>16</v>
      </c>
      <c r="E279" s="5">
        <v>36832.33</v>
      </c>
      <c r="F279" s="5">
        <v>8001</v>
      </c>
      <c r="G279" s="5">
        <v>0</v>
      </c>
      <c r="H279" s="5">
        <v>19</v>
      </c>
      <c r="I279" s="5">
        <v>88.7</v>
      </c>
      <c r="J279" s="5">
        <v>3.39</v>
      </c>
      <c r="K279" s="5">
        <v>0</v>
      </c>
      <c r="L279" s="5">
        <v>4</v>
      </c>
      <c r="M279" s="5">
        <v>738548.42</v>
      </c>
      <c r="N279" s="5">
        <v>134282.76999999999</v>
      </c>
    </row>
    <row r="280" spans="1:14">
      <c r="A280" s="3" t="s">
        <v>91</v>
      </c>
      <c r="B280" s="4">
        <v>45717</v>
      </c>
      <c r="C280" s="5" t="s">
        <v>24</v>
      </c>
      <c r="D280" s="5" t="s">
        <v>16</v>
      </c>
      <c r="E280" s="5">
        <v>48609.41</v>
      </c>
      <c r="F280" s="5">
        <v>9324</v>
      </c>
      <c r="G280" s="5">
        <v>0.21299999999999999</v>
      </c>
      <c r="H280" s="5">
        <v>18</v>
      </c>
      <c r="I280" s="5">
        <v>86.5</v>
      </c>
      <c r="J280" s="5">
        <v>1.44</v>
      </c>
      <c r="K280" s="5">
        <v>0</v>
      </c>
      <c r="L280" s="5">
        <v>3.9</v>
      </c>
      <c r="M280" s="5">
        <v>756619.77</v>
      </c>
      <c r="N280" s="5">
        <v>112057.69</v>
      </c>
    </row>
    <row r="281" spans="1:14">
      <c r="A281" s="3" t="s">
        <v>91</v>
      </c>
      <c r="B281" s="4">
        <v>45748</v>
      </c>
      <c r="C281" s="5" t="s">
        <v>24</v>
      </c>
      <c r="D281" s="5" t="s">
        <v>16</v>
      </c>
      <c r="E281" s="5">
        <v>70284.06</v>
      </c>
      <c r="F281" s="5">
        <v>9109</v>
      </c>
      <c r="G281" s="5">
        <v>4.0000000000000001E-3</v>
      </c>
      <c r="H281" s="5">
        <v>23</v>
      </c>
      <c r="I281" s="5">
        <v>87</v>
      </c>
      <c r="J281" s="5">
        <v>3.65</v>
      </c>
      <c r="K281" s="5">
        <v>0</v>
      </c>
      <c r="L281" s="5">
        <v>3.7</v>
      </c>
      <c r="M281" s="5">
        <v>761122.42</v>
      </c>
      <c r="N281" s="5">
        <v>149802.04</v>
      </c>
    </row>
    <row r="282" spans="1:14">
      <c r="A282" s="3" t="s">
        <v>92</v>
      </c>
      <c r="B282" s="4">
        <v>45658</v>
      </c>
      <c r="C282" s="5" t="s">
        <v>24</v>
      </c>
      <c r="D282" s="5" t="s">
        <v>18</v>
      </c>
      <c r="E282" s="5">
        <v>45940.39</v>
      </c>
      <c r="F282" s="5">
        <v>4022</v>
      </c>
      <c r="G282" s="5">
        <v>6.9000000000000006E-2</v>
      </c>
      <c r="H282" s="5">
        <v>10</v>
      </c>
      <c r="I282" s="5">
        <v>83</v>
      </c>
      <c r="J282" s="5">
        <v>1.23</v>
      </c>
      <c r="K282" s="5">
        <v>1</v>
      </c>
      <c r="L282" s="5">
        <v>3.8</v>
      </c>
      <c r="M282" s="5">
        <v>524899.56999999995</v>
      </c>
      <c r="N282" s="5">
        <v>63619.98</v>
      </c>
    </row>
    <row r="283" spans="1:14">
      <c r="A283" s="3" t="s">
        <v>92</v>
      </c>
      <c r="B283" s="4">
        <v>45689</v>
      </c>
      <c r="C283" s="5" t="s">
        <v>24</v>
      </c>
      <c r="D283" s="5" t="s">
        <v>18</v>
      </c>
      <c r="E283" s="5">
        <v>34771.26</v>
      </c>
      <c r="F283" s="5">
        <v>4355</v>
      </c>
      <c r="G283" s="5">
        <v>5.0999999999999997E-2</v>
      </c>
      <c r="H283" s="5">
        <v>15</v>
      </c>
      <c r="I283" s="5">
        <v>87.9</v>
      </c>
      <c r="J283" s="5">
        <v>3.09</v>
      </c>
      <c r="K283" s="5">
        <v>0</v>
      </c>
      <c r="L283" s="5">
        <v>4</v>
      </c>
      <c r="M283" s="5">
        <v>555557.77</v>
      </c>
      <c r="N283" s="5">
        <v>86475.51</v>
      </c>
    </row>
    <row r="284" spans="1:14">
      <c r="A284" s="3" t="s">
        <v>92</v>
      </c>
      <c r="B284" s="4">
        <v>45717</v>
      </c>
      <c r="C284" s="5" t="s">
        <v>24</v>
      </c>
      <c r="D284" s="5" t="s">
        <v>18</v>
      </c>
      <c r="E284" s="5">
        <v>66104.19</v>
      </c>
      <c r="F284" s="5">
        <v>5745</v>
      </c>
      <c r="G284" s="5">
        <v>7.0000000000000007E-2</v>
      </c>
      <c r="H284" s="5">
        <v>17</v>
      </c>
      <c r="I284" s="5">
        <v>95.8</v>
      </c>
      <c r="J284" s="5">
        <v>3.15</v>
      </c>
      <c r="K284" s="5">
        <v>0</v>
      </c>
      <c r="L284" s="5">
        <v>4</v>
      </c>
      <c r="M284" s="5">
        <v>714083.68</v>
      </c>
      <c r="N284" s="5">
        <v>127231.74</v>
      </c>
    </row>
    <row r="285" spans="1:14">
      <c r="A285" s="3" t="s">
        <v>92</v>
      </c>
      <c r="B285" s="4">
        <v>45748</v>
      </c>
      <c r="C285" s="5" t="s">
        <v>24</v>
      </c>
      <c r="D285" s="5" t="s">
        <v>18</v>
      </c>
      <c r="E285" s="5">
        <v>18599.21</v>
      </c>
      <c r="F285" s="5">
        <v>3027</v>
      </c>
      <c r="G285" s="5">
        <v>0.122</v>
      </c>
      <c r="H285" s="5">
        <v>11</v>
      </c>
      <c r="I285" s="5">
        <v>80.900000000000006</v>
      </c>
      <c r="J285" s="5">
        <v>6.44</v>
      </c>
      <c r="K285" s="5">
        <v>0</v>
      </c>
      <c r="L285" s="5">
        <v>4.2</v>
      </c>
      <c r="M285" s="5">
        <v>497439.82</v>
      </c>
      <c r="N285" s="5">
        <v>93372.75</v>
      </c>
    </row>
    <row r="286" spans="1:14">
      <c r="A286" s="3" t="s">
        <v>93</v>
      </c>
      <c r="B286" s="4">
        <v>45658</v>
      </c>
      <c r="C286" s="5" t="s">
        <v>27</v>
      </c>
      <c r="D286" s="5" t="s">
        <v>16</v>
      </c>
      <c r="E286" s="5">
        <v>60183.06</v>
      </c>
      <c r="F286" s="5">
        <v>5562</v>
      </c>
      <c r="G286" s="5">
        <v>8.9999999999999993E-3</v>
      </c>
      <c r="H286" s="5">
        <v>13</v>
      </c>
      <c r="I286" s="5">
        <v>86.3</v>
      </c>
      <c r="J286" s="5">
        <v>0.2</v>
      </c>
      <c r="K286" s="5">
        <v>1</v>
      </c>
      <c r="L286" s="5">
        <v>4.5</v>
      </c>
      <c r="M286" s="5">
        <v>636775.66</v>
      </c>
      <c r="N286" s="5">
        <v>122636.86</v>
      </c>
    </row>
    <row r="287" spans="1:14">
      <c r="A287" s="3" t="s">
        <v>93</v>
      </c>
      <c r="B287" s="4">
        <v>45689</v>
      </c>
      <c r="C287" s="5" t="s">
        <v>27</v>
      </c>
      <c r="D287" s="5" t="s">
        <v>16</v>
      </c>
      <c r="E287" s="5">
        <v>74539.14</v>
      </c>
      <c r="F287" s="5">
        <v>4487</v>
      </c>
      <c r="G287" s="5">
        <v>0.14000000000000001</v>
      </c>
      <c r="H287" s="5">
        <v>10</v>
      </c>
      <c r="I287" s="5">
        <v>90.4</v>
      </c>
      <c r="J287" s="5">
        <v>0.59</v>
      </c>
      <c r="K287" s="5">
        <v>0</v>
      </c>
      <c r="L287" s="5">
        <v>4.5</v>
      </c>
      <c r="M287" s="5">
        <v>633009.53</v>
      </c>
      <c r="N287" s="5">
        <v>123782.67</v>
      </c>
    </row>
    <row r="288" spans="1:14">
      <c r="A288" s="3" t="s">
        <v>93</v>
      </c>
      <c r="B288" s="4">
        <v>45717</v>
      </c>
      <c r="C288" s="5" t="s">
        <v>27</v>
      </c>
      <c r="D288" s="5" t="s">
        <v>16</v>
      </c>
      <c r="E288" s="5">
        <v>55371.97</v>
      </c>
      <c r="F288" s="5">
        <v>4162</v>
      </c>
      <c r="G288" s="5">
        <v>0.183</v>
      </c>
      <c r="H288" s="5">
        <v>11</v>
      </c>
      <c r="I288" s="5">
        <v>92</v>
      </c>
      <c r="J288" s="5">
        <v>0.2</v>
      </c>
      <c r="K288" s="5">
        <v>1</v>
      </c>
      <c r="L288" s="5">
        <v>4.2</v>
      </c>
      <c r="M288" s="5">
        <v>609949</v>
      </c>
      <c r="N288" s="5">
        <v>126789.25</v>
      </c>
    </row>
    <row r="289" spans="1:14">
      <c r="A289" s="3" t="s">
        <v>93</v>
      </c>
      <c r="B289" s="4">
        <v>45748</v>
      </c>
      <c r="C289" s="5" t="s">
        <v>27</v>
      </c>
      <c r="D289" s="5" t="s">
        <v>16</v>
      </c>
      <c r="E289" s="5">
        <v>40928.69</v>
      </c>
      <c r="F289" s="5">
        <v>4094</v>
      </c>
      <c r="G289" s="5">
        <v>0.17399999999999999</v>
      </c>
      <c r="H289" s="5">
        <v>13</v>
      </c>
      <c r="I289" s="5">
        <v>82.4</v>
      </c>
      <c r="J289" s="5">
        <v>1.36</v>
      </c>
      <c r="K289" s="5">
        <v>0</v>
      </c>
      <c r="L289" s="5">
        <v>4.8</v>
      </c>
      <c r="M289" s="5">
        <v>548103.69999999995</v>
      </c>
      <c r="N289" s="5">
        <v>99905.52</v>
      </c>
    </row>
    <row r="290" spans="1:14">
      <c r="A290" s="3" t="s">
        <v>94</v>
      </c>
      <c r="B290" s="4">
        <v>45658</v>
      </c>
      <c r="C290" s="5" t="s">
        <v>15</v>
      </c>
      <c r="D290" s="5" t="s">
        <v>16</v>
      </c>
      <c r="E290" s="5">
        <v>70012.41</v>
      </c>
      <c r="F290" s="5">
        <v>8484</v>
      </c>
      <c r="G290" s="5">
        <v>0.27300000000000002</v>
      </c>
      <c r="H290" s="5">
        <v>23</v>
      </c>
      <c r="I290" s="5">
        <v>72.900000000000006</v>
      </c>
      <c r="J290" s="5">
        <v>3.34</v>
      </c>
      <c r="K290" s="5">
        <v>0</v>
      </c>
      <c r="L290" s="5">
        <v>3.7</v>
      </c>
      <c r="M290" s="5">
        <v>729424.42</v>
      </c>
      <c r="N290" s="5">
        <v>75592.28</v>
      </c>
    </row>
    <row r="291" spans="1:14">
      <c r="A291" s="3" t="s">
        <v>94</v>
      </c>
      <c r="B291" s="4">
        <v>45689</v>
      </c>
      <c r="C291" s="5" t="s">
        <v>15</v>
      </c>
      <c r="D291" s="5" t="s">
        <v>16</v>
      </c>
      <c r="E291" s="5">
        <v>68909.259999999995</v>
      </c>
      <c r="F291" s="5">
        <v>7794</v>
      </c>
      <c r="G291" s="5">
        <v>0.28399999999999997</v>
      </c>
      <c r="H291" s="5">
        <v>22</v>
      </c>
      <c r="I291" s="5">
        <v>89</v>
      </c>
      <c r="J291" s="5">
        <v>0.33</v>
      </c>
      <c r="K291" s="5">
        <v>0</v>
      </c>
      <c r="L291" s="5">
        <v>4</v>
      </c>
      <c r="M291" s="5">
        <v>696261.49</v>
      </c>
      <c r="N291" s="5">
        <v>72455.350000000006</v>
      </c>
    </row>
    <row r="292" spans="1:14">
      <c r="A292" s="3" t="s">
        <v>94</v>
      </c>
      <c r="B292" s="4">
        <v>45717</v>
      </c>
      <c r="C292" s="5" t="s">
        <v>15</v>
      </c>
      <c r="D292" s="5" t="s">
        <v>16</v>
      </c>
      <c r="E292" s="5">
        <v>56737.3</v>
      </c>
      <c r="F292" s="5">
        <v>8300</v>
      </c>
      <c r="G292" s="5">
        <v>3.2000000000000001E-2</v>
      </c>
      <c r="H292" s="5">
        <v>21</v>
      </c>
      <c r="I292" s="5">
        <v>83.2</v>
      </c>
      <c r="J292" s="5">
        <v>3.44</v>
      </c>
      <c r="K292" s="5">
        <v>1</v>
      </c>
      <c r="L292" s="5">
        <v>4.3</v>
      </c>
      <c r="M292" s="5">
        <v>813316.71</v>
      </c>
      <c r="N292" s="5">
        <v>110077.42</v>
      </c>
    </row>
    <row r="293" spans="1:14">
      <c r="A293" s="3" t="s">
        <v>94</v>
      </c>
      <c r="B293" s="4">
        <v>45748</v>
      </c>
      <c r="C293" s="5" t="s">
        <v>15</v>
      </c>
      <c r="D293" s="5" t="s">
        <v>16</v>
      </c>
      <c r="E293" s="5">
        <v>54080.91</v>
      </c>
      <c r="F293" s="5">
        <v>7083</v>
      </c>
      <c r="G293" s="5">
        <v>0</v>
      </c>
      <c r="H293" s="5">
        <v>15</v>
      </c>
      <c r="I293" s="5">
        <v>97</v>
      </c>
      <c r="J293" s="5">
        <v>5.33</v>
      </c>
      <c r="K293" s="5">
        <v>0</v>
      </c>
      <c r="L293" s="5">
        <v>4.0999999999999996</v>
      </c>
      <c r="M293" s="5">
        <v>702068.92</v>
      </c>
      <c r="N293" s="5">
        <v>111266.63</v>
      </c>
    </row>
    <row r="294" spans="1:14">
      <c r="A294" s="3" t="s">
        <v>95</v>
      </c>
      <c r="B294" s="4">
        <v>45658</v>
      </c>
      <c r="C294" s="5" t="s">
        <v>27</v>
      </c>
      <c r="D294" s="5" t="s">
        <v>18</v>
      </c>
      <c r="E294" s="5">
        <v>51996.32</v>
      </c>
      <c r="F294" s="5">
        <v>3834</v>
      </c>
      <c r="G294" s="5">
        <v>9.6000000000000002E-2</v>
      </c>
      <c r="H294" s="5">
        <v>8</v>
      </c>
      <c r="I294" s="5">
        <v>86.7</v>
      </c>
      <c r="J294" s="5">
        <v>6.04</v>
      </c>
      <c r="K294" s="5">
        <v>0</v>
      </c>
      <c r="L294" s="5">
        <v>4.5</v>
      </c>
      <c r="M294" s="5">
        <v>546223.69999999995</v>
      </c>
      <c r="N294" s="5">
        <v>100769.17</v>
      </c>
    </row>
    <row r="295" spans="1:14">
      <c r="A295" s="3" t="s">
        <v>95</v>
      </c>
      <c r="B295" s="4">
        <v>45689</v>
      </c>
      <c r="C295" s="5" t="s">
        <v>27</v>
      </c>
      <c r="D295" s="5" t="s">
        <v>18</v>
      </c>
      <c r="E295" s="5">
        <v>40102.879999999997</v>
      </c>
      <c r="F295" s="5">
        <v>2358</v>
      </c>
      <c r="G295" s="5">
        <v>0.11899999999999999</v>
      </c>
      <c r="H295" s="5">
        <v>9</v>
      </c>
      <c r="I295" s="5">
        <v>88.7</v>
      </c>
      <c r="J295" s="5">
        <v>1.6</v>
      </c>
      <c r="K295" s="5">
        <v>0</v>
      </c>
      <c r="L295" s="5">
        <v>4.2</v>
      </c>
      <c r="M295" s="5">
        <v>533121.26</v>
      </c>
      <c r="N295" s="5">
        <v>55063.39</v>
      </c>
    </row>
    <row r="296" spans="1:14">
      <c r="A296" s="3" t="s">
        <v>95</v>
      </c>
      <c r="B296" s="4">
        <v>45717</v>
      </c>
      <c r="C296" s="5" t="s">
        <v>27</v>
      </c>
      <c r="D296" s="5" t="s">
        <v>18</v>
      </c>
      <c r="E296" s="5">
        <v>59825.51</v>
      </c>
      <c r="F296" s="5">
        <v>1231</v>
      </c>
      <c r="G296" s="5">
        <v>0.214</v>
      </c>
      <c r="H296" s="5">
        <v>10</v>
      </c>
      <c r="I296" s="5">
        <v>84.8</v>
      </c>
      <c r="J296" s="5">
        <v>8.9600000000000009</v>
      </c>
      <c r="K296" s="5">
        <v>0</v>
      </c>
      <c r="L296" s="5">
        <v>4.7</v>
      </c>
      <c r="M296" s="5">
        <v>498970.32</v>
      </c>
      <c r="N296" s="5">
        <v>69656.7</v>
      </c>
    </row>
    <row r="297" spans="1:14">
      <c r="A297" s="3" t="s">
        <v>95</v>
      </c>
      <c r="B297" s="4">
        <v>45748</v>
      </c>
      <c r="C297" s="5" t="s">
        <v>27</v>
      </c>
      <c r="D297" s="5" t="s">
        <v>18</v>
      </c>
      <c r="E297" s="5">
        <v>27398.28</v>
      </c>
      <c r="F297" s="5">
        <v>1723</v>
      </c>
      <c r="G297" s="5">
        <v>0.17100000000000001</v>
      </c>
      <c r="H297" s="5">
        <v>9</v>
      </c>
      <c r="I297" s="5">
        <v>81</v>
      </c>
      <c r="J297" s="5">
        <v>0.74</v>
      </c>
      <c r="K297" s="5">
        <v>0</v>
      </c>
      <c r="L297" s="5">
        <v>4.5999999999999996</v>
      </c>
      <c r="M297" s="5">
        <v>487738.26</v>
      </c>
      <c r="N297" s="5">
        <v>96435.6</v>
      </c>
    </row>
    <row r="298" spans="1:14">
      <c r="A298" s="3" t="s">
        <v>96</v>
      </c>
      <c r="B298" s="4">
        <v>45658</v>
      </c>
      <c r="C298" s="5" t="s">
        <v>27</v>
      </c>
      <c r="D298" s="5" t="s">
        <v>18</v>
      </c>
      <c r="E298" s="5">
        <v>55599.56</v>
      </c>
      <c r="F298" s="5">
        <v>5896</v>
      </c>
      <c r="G298" s="5">
        <v>3.5999999999999997E-2</v>
      </c>
      <c r="H298" s="5">
        <v>12</v>
      </c>
      <c r="I298" s="5">
        <v>93.1</v>
      </c>
      <c r="J298" s="5">
        <v>6.13</v>
      </c>
      <c r="K298" s="5">
        <v>0</v>
      </c>
      <c r="L298" s="5">
        <v>3.3</v>
      </c>
      <c r="M298" s="5">
        <v>668459.37</v>
      </c>
      <c r="N298" s="5">
        <v>126435.42</v>
      </c>
    </row>
    <row r="299" spans="1:14">
      <c r="A299" s="3" t="s">
        <v>96</v>
      </c>
      <c r="B299" s="4">
        <v>45689</v>
      </c>
      <c r="C299" s="5" t="s">
        <v>27</v>
      </c>
      <c r="D299" s="5" t="s">
        <v>18</v>
      </c>
      <c r="E299" s="5">
        <v>55477.61</v>
      </c>
      <c r="F299" s="5">
        <v>5903</v>
      </c>
      <c r="G299" s="5">
        <v>0.10199999999999999</v>
      </c>
      <c r="H299" s="5">
        <v>14</v>
      </c>
      <c r="I299" s="5">
        <v>96.2</v>
      </c>
      <c r="J299" s="5">
        <v>1.41</v>
      </c>
      <c r="K299" s="5">
        <v>0</v>
      </c>
      <c r="L299" s="5">
        <v>3.3</v>
      </c>
      <c r="M299" s="5">
        <v>763162.45</v>
      </c>
      <c r="N299" s="5">
        <v>162524.04999999999</v>
      </c>
    </row>
    <row r="300" spans="1:14">
      <c r="A300" s="3" t="s">
        <v>96</v>
      </c>
      <c r="B300" s="4">
        <v>45717</v>
      </c>
      <c r="C300" s="5" t="s">
        <v>27</v>
      </c>
      <c r="D300" s="5" t="s">
        <v>18</v>
      </c>
      <c r="E300" s="5">
        <v>46174.7</v>
      </c>
      <c r="F300" s="5">
        <v>4898</v>
      </c>
      <c r="G300" s="5">
        <v>0.114</v>
      </c>
      <c r="H300" s="5">
        <v>11</v>
      </c>
      <c r="I300" s="5">
        <v>91.7</v>
      </c>
      <c r="J300" s="5">
        <v>3.75</v>
      </c>
      <c r="K300" s="5">
        <v>0</v>
      </c>
      <c r="L300" s="5">
        <v>3.1</v>
      </c>
      <c r="M300" s="5">
        <v>599017.32999999996</v>
      </c>
      <c r="N300" s="5">
        <v>134009.92000000001</v>
      </c>
    </row>
    <row r="301" spans="1:14">
      <c r="A301" s="3" t="s">
        <v>96</v>
      </c>
      <c r="B301" s="4">
        <v>45748</v>
      </c>
      <c r="C301" s="5" t="s">
        <v>27</v>
      </c>
      <c r="D301" s="5" t="s">
        <v>18</v>
      </c>
      <c r="E301" s="5">
        <v>24362.98</v>
      </c>
      <c r="F301" s="5">
        <v>1462</v>
      </c>
      <c r="G301" s="5">
        <v>0.11700000000000001</v>
      </c>
      <c r="H301" s="5">
        <v>6</v>
      </c>
      <c r="I301" s="5">
        <v>89.3</v>
      </c>
      <c r="J301" s="5">
        <v>15.06</v>
      </c>
      <c r="K301" s="5">
        <v>0</v>
      </c>
      <c r="L301" s="5">
        <v>3.2</v>
      </c>
      <c r="M301" s="5">
        <v>401582.58</v>
      </c>
      <c r="N301" s="5">
        <v>68454.929999999993</v>
      </c>
    </row>
    <row r="302" spans="1:14">
      <c r="A302" s="3" t="s">
        <v>97</v>
      </c>
      <c r="B302" s="4">
        <v>45658</v>
      </c>
      <c r="C302" s="5" t="s">
        <v>20</v>
      </c>
      <c r="D302" s="5" t="s">
        <v>28</v>
      </c>
      <c r="E302" s="5">
        <v>40647.67</v>
      </c>
      <c r="F302" s="5">
        <v>8252</v>
      </c>
      <c r="G302" s="5">
        <v>0.14099999999999999</v>
      </c>
      <c r="H302" s="5">
        <v>22</v>
      </c>
      <c r="I302" s="5">
        <v>88.2</v>
      </c>
      <c r="J302" s="5">
        <v>5.07</v>
      </c>
      <c r="K302" s="5">
        <v>1</v>
      </c>
      <c r="L302" s="5">
        <v>4.0999999999999996</v>
      </c>
      <c r="M302" s="5">
        <v>703812.99</v>
      </c>
      <c r="N302" s="5">
        <v>133577.98000000001</v>
      </c>
    </row>
    <row r="303" spans="1:14">
      <c r="A303" s="3" t="s">
        <v>97</v>
      </c>
      <c r="B303" s="4">
        <v>45689</v>
      </c>
      <c r="C303" s="5" t="s">
        <v>20</v>
      </c>
      <c r="D303" s="5" t="s">
        <v>28</v>
      </c>
      <c r="E303" s="5">
        <v>63986.98</v>
      </c>
      <c r="F303" s="5">
        <v>7989</v>
      </c>
      <c r="G303" s="5">
        <v>7.3999999999999996E-2</v>
      </c>
      <c r="H303" s="5">
        <v>20</v>
      </c>
      <c r="I303" s="5">
        <v>83.3</v>
      </c>
      <c r="J303" s="5">
        <v>3.6</v>
      </c>
      <c r="K303" s="5">
        <v>0</v>
      </c>
      <c r="L303" s="5">
        <v>3.7</v>
      </c>
      <c r="M303" s="5">
        <v>724346.73</v>
      </c>
      <c r="N303" s="5">
        <v>155013.91</v>
      </c>
    </row>
    <row r="304" spans="1:14">
      <c r="A304" s="3" t="s">
        <v>97</v>
      </c>
      <c r="B304" s="4">
        <v>45717</v>
      </c>
      <c r="C304" s="5" t="s">
        <v>20</v>
      </c>
      <c r="D304" s="5" t="s">
        <v>28</v>
      </c>
      <c r="E304" s="5">
        <v>52843.75</v>
      </c>
      <c r="F304" s="5">
        <v>8268</v>
      </c>
      <c r="G304" s="5">
        <v>0.13800000000000001</v>
      </c>
      <c r="H304" s="5">
        <v>19</v>
      </c>
      <c r="I304" s="5">
        <v>87.3</v>
      </c>
      <c r="J304" s="5">
        <v>4.3899999999999997</v>
      </c>
      <c r="K304" s="5">
        <v>1</v>
      </c>
      <c r="L304" s="5">
        <v>4.7</v>
      </c>
      <c r="M304" s="5">
        <v>730890.01</v>
      </c>
      <c r="N304" s="5">
        <v>105502.56</v>
      </c>
    </row>
    <row r="305" spans="1:14">
      <c r="A305" s="3" t="s">
        <v>97</v>
      </c>
      <c r="B305" s="4">
        <v>45748</v>
      </c>
      <c r="C305" s="5" t="s">
        <v>20</v>
      </c>
      <c r="D305" s="5" t="s">
        <v>28</v>
      </c>
      <c r="E305" s="5">
        <v>31997.25</v>
      </c>
      <c r="F305" s="5">
        <v>8183</v>
      </c>
      <c r="G305" s="5">
        <v>0.19800000000000001</v>
      </c>
      <c r="H305" s="5">
        <v>18</v>
      </c>
      <c r="I305" s="5">
        <v>93</v>
      </c>
      <c r="J305" s="5">
        <v>2.79</v>
      </c>
      <c r="K305" s="5">
        <v>0</v>
      </c>
      <c r="L305" s="5">
        <v>4.2</v>
      </c>
      <c r="M305" s="5">
        <v>780580.95</v>
      </c>
      <c r="N305" s="5">
        <v>138144.46</v>
      </c>
    </row>
    <row r="306" spans="1:14">
      <c r="A306" s="3" t="s">
        <v>98</v>
      </c>
      <c r="B306" s="4">
        <v>45658</v>
      </c>
      <c r="C306" s="5" t="s">
        <v>24</v>
      </c>
      <c r="D306" s="5" t="s">
        <v>16</v>
      </c>
      <c r="E306" s="5">
        <v>54948.02</v>
      </c>
      <c r="F306" s="5">
        <v>6534</v>
      </c>
      <c r="G306" s="5">
        <v>0.183</v>
      </c>
      <c r="H306" s="5">
        <v>14</v>
      </c>
      <c r="I306" s="5">
        <v>94.5</v>
      </c>
      <c r="J306" s="5">
        <v>1.56</v>
      </c>
      <c r="K306" s="5">
        <v>0</v>
      </c>
      <c r="L306" s="5">
        <v>4</v>
      </c>
      <c r="M306" s="5">
        <v>727957.48</v>
      </c>
      <c r="N306" s="5">
        <v>74805.23</v>
      </c>
    </row>
    <row r="307" spans="1:14">
      <c r="A307" s="3" t="s">
        <v>98</v>
      </c>
      <c r="B307" s="4">
        <v>45689</v>
      </c>
      <c r="C307" s="5" t="s">
        <v>24</v>
      </c>
      <c r="D307" s="5" t="s">
        <v>16</v>
      </c>
      <c r="E307" s="5">
        <v>46146.239999999998</v>
      </c>
      <c r="F307" s="5">
        <v>5804</v>
      </c>
      <c r="G307" s="5">
        <v>4.7E-2</v>
      </c>
      <c r="H307" s="5">
        <v>16</v>
      </c>
      <c r="I307" s="5">
        <v>86.9</v>
      </c>
      <c r="J307" s="5">
        <v>15.82</v>
      </c>
      <c r="K307" s="5">
        <v>0</v>
      </c>
      <c r="L307" s="5">
        <v>3.8</v>
      </c>
      <c r="M307" s="5">
        <v>538376</v>
      </c>
      <c r="N307" s="5">
        <v>87605.62</v>
      </c>
    </row>
    <row r="308" spans="1:14">
      <c r="A308" s="3" t="s">
        <v>98</v>
      </c>
      <c r="B308" s="4">
        <v>45717</v>
      </c>
      <c r="C308" s="5" t="s">
        <v>24</v>
      </c>
      <c r="D308" s="5" t="s">
        <v>16</v>
      </c>
      <c r="E308" s="5">
        <v>22387.26</v>
      </c>
      <c r="F308" s="5">
        <v>6301</v>
      </c>
      <c r="G308" s="5">
        <v>0.14599999999999999</v>
      </c>
      <c r="H308" s="5">
        <v>14</v>
      </c>
      <c r="I308" s="5">
        <v>85.9</v>
      </c>
      <c r="J308" s="5">
        <v>1.17</v>
      </c>
      <c r="K308" s="5">
        <v>1</v>
      </c>
      <c r="L308" s="5">
        <v>3.7</v>
      </c>
      <c r="M308" s="5">
        <v>665342.49</v>
      </c>
      <c r="N308" s="5">
        <v>93441.81</v>
      </c>
    </row>
    <row r="309" spans="1:14">
      <c r="A309" s="3" t="s">
        <v>98</v>
      </c>
      <c r="B309" s="4">
        <v>45748</v>
      </c>
      <c r="C309" s="5" t="s">
        <v>24</v>
      </c>
      <c r="D309" s="5" t="s">
        <v>16</v>
      </c>
      <c r="E309" s="5">
        <v>60684.05</v>
      </c>
      <c r="F309" s="5">
        <v>6399</v>
      </c>
      <c r="G309" s="5">
        <v>7.4999999999999997E-2</v>
      </c>
      <c r="H309" s="5">
        <v>16</v>
      </c>
      <c r="I309" s="5">
        <v>99</v>
      </c>
      <c r="J309" s="5">
        <v>3.82</v>
      </c>
      <c r="K309" s="5">
        <v>0</v>
      </c>
      <c r="L309" s="5">
        <v>3.5</v>
      </c>
      <c r="M309" s="5">
        <v>651164.18000000005</v>
      </c>
      <c r="N309" s="5">
        <v>109466.5</v>
      </c>
    </row>
    <row r="310" spans="1:14">
      <c r="A310" s="3" t="s">
        <v>99</v>
      </c>
      <c r="B310" s="4">
        <v>45658</v>
      </c>
      <c r="C310" s="5" t="s">
        <v>24</v>
      </c>
      <c r="D310" s="5" t="s">
        <v>18</v>
      </c>
      <c r="E310" s="5">
        <v>48465.599999999999</v>
      </c>
      <c r="F310" s="5">
        <v>5759</v>
      </c>
      <c r="G310" s="5">
        <v>0.154</v>
      </c>
      <c r="H310" s="5">
        <v>13</v>
      </c>
      <c r="I310" s="5">
        <v>87.5</v>
      </c>
      <c r="J310" s="5">
        <v>4.1399999999999997</v>
      </c>
      <c r="K310" s="5">
        <v>0</v>
      </c>
      <c r="L310" s="5">
        <v>4</v>
      </c>
      <c r="M310" s="5">
        <v>628538.30000000005</v>
      </c>
      <c r="N310" s="5">
        <v>112509.15</v>
      </c>
    </row>
    <row r="311" spans="1:14">
      <c r="A311" s="3" t="s">
        <v>99</v>
      </c>
      <c r="B311" s="4">
        <v>45689</v>
      </c>
      <c r="C311" s="5" t="s">
        <v>24</v>
      </c>
      <c r="D311" s="5" t="s">
        <v>18</v>
      </c>
      <c r="E311" s="5">
        <v>23702.38</v>
      </c>
      <c r="F311" s="5">
        <v>5285</v>
      </c>
      <c r="G311" s="5">
        <v>0.16700000000000001</v>
      </c>
      <c r="H311" s="5">
        <v>14</v>
      </c>
      <c r="I311" s="5">
        <v>79.7</v>
      </c>
      <c r="J311" s="5">
        <v>1.1000000000000001</v>
      </c>
      <c r="K311" s="5">
        <v>0</v>
      </c>
      <c r="L311" s="5">
        <v>4.3</v>
      </c>
      <c r="M311" s="5">
        <v>536524.84</v>
      </c>
      <c r="N311" s="5">
        <v>92752.94</v>
      </c>
    </row>
    <row r="312" spans="1:14">
      <c r="A312" s="3" t="s">
        <v>99</v>
      </c>
      <c r="B312" s="4">
        <v>45717</v>
      </c>
      <c r="C312" s="5" t="s">
        <v>24</v>
      </c>
      <c r="D312" s="5" t="s">
        <v>18</v>
      </c>
      <c r="E312" s="5">
        <v>54322.94</v>
      </c>
      <c r="F312" s="5">
        <v>5434</v>
      </c>
      <c r="G312" s="5">
        <v>0.2</v>
      </c>
      <c r="H312" s="5">
        <v>13</v>
      </c>
      <c r="I312" s="5">
        <v>85.7</v>
      </c>
      <c r="J312" s="5">
        <v>10.6</v>
      </c>
      <c r="K312" s="5">
        <v>0</v>
      </c>
      <c r="L312" s="5">
        <v>4.2</v>
      </c>
      <c r="M312" s="5">
        <v>621677.30000000005</v>
      </c>
      <c r="N312" s="5">
        <v>105192.52</v>
      </c>
    </row>
    <row r="313" spans="1:14">
      <c r="A313" s="3" t="s">
        <v>99</v>
      </c>
      <c r="B313" s="4">
        <v>45748</v>
      </c>
      <c r="C313" s="5" t="s">
        <v>24</v>
      </c>
      <c r="D313" s="5" t="s">
        <v>18</v>
      </c>
      <c r="E313" s="5">
        <v>86026.58</v>
      </c>
      <c r="F313" s="5">
        <v>7479</v>
      </c>
      <c r="G313" s="5">
        <v>0.14199999999999999</v>
      </c>
      <c r="H313" s="5">
        <v>20</v>
      </c>
      <c r="I313" s="5">
        <v>89</v>
      </c>
      <c r="J313" s="5">
        <v>0.9</v>
      </c>
      <c r="K313" s="5">
        <v>0</v>
      </c>
      <c r="M313" s="5">
        <v>771129.07</v>
      </c>
      <c r="N313" s="5">
        <v>116851.13</v>
      </c>
    </row>
    <row r="314" spans="1:14">
      <c r="A314" s="3" t="s">
        <v>100</v>
      </c>
      <c r="B314" s="4">
        <v>45658</v>
      </c>
      <c r="C314" s="5" t="s">
        <v>20</v>
      </c>
      <c r="D314" s="5" t="s">
        <v>16</v>
      </c>
      <c r="E314" s="5">
        <v>78967.520000000004</v>
      </c>
      <c r="F314" s="5">
        <v>6164</v>
      </c>
      <c r="G314" s="5">
        <v>2.1000000000000001E-2</v>
      </c>
      <c r="H314" s="5">
        <v>16</v>
      </c>
      <c r="I314" s="5">
        <v>85.5</v>
      </c>
      <c r="J314" s="5">
        <v>0.2</v>
      </c>
      <c r="K314" s="5">
        <v>0</v>
      </c>
      <c r="L314" s="5">
        <v>3.4</v>
      </c>
      <c r="M314" s="5">
        <v>702052.47</v>
      </c>
      <c r="N314" s="5">
        <v>121732.51</v>
      </c>
    </row>
    <row r="315" spans="1:14">
      <c r="A315" s="3" t="s">
        <v>100</v>
      </c>
      <c r="B315" s="4">
        <v>45689</v>
      </c>
      <c r="C315" s="5" t="s">
        <v>20</v>
      </c>
      <c r="D315" s="5" t="s">
        <v>16</v>
      </c>
      <c r="E315" s="5">
        <v>46767.99</v>
      </c>
      <c r="F315" s="5">
        <v>7973</v>
      </c>
      <c r="G315" s="5">
        <v>0.183</v>
      </c>
      <c r="H315" s="5">
        <v>18</v>
      </c>
      <c r="I315" s="5">
        <v>94.8</v>
      </c>
      <c r="J315" s="5">
        <v>4.67</v>
      </c>
      <c r="K315" s="5">
        <v>0</v>
      </c>
      <c r="M315" s="5">
        <v>688368.46</v>
      </c>
      <c r="N315" s="5">
        <v>93588.42</v>
      </c>
    </row>
    <row r="316" spans="1:14">
      <c r="A316" s="3" t="s">
        <v>100</v>
      </c>
      <c r="B316" s="4">
        <v>45717</v>
      </c>
      <c r="C316" s="5" t="s">
        <v>20</v>
      </c>
      <c r="D316" s="5" t="s">
        <v>16</v>
      </c>
      <c r="E316" s="5">
        <v>62507.16</v>
      </c>
      <c r="F316" s="5">
        <v>6000</v>
      </c>
      <c r="G316" s="5">
        <v>9.0999999999999998E-2</v>
      </c>
      <c r="H316" s="5">
        <v>14</v>
      </c>
      <c r="I316" s="5">
        <v>98.2</v>
      </c>
      <c r="J316" s="5">
        <v>4.38</v>
      </c>
      <c r="K316" s="5">
        <v>1</v>
      </c>
      <c r="L316" s="5">
        <v>3.9</v>
      </c>
      <c r="M316" s="5">
        <v>712375.77</v>
      </c>
      <c r="N316" s="5">
        <v>104171.53</v>
      </c>
    </row>
    <row r="317" spans="1:14">
      <c r="A317" s="3" t="s">
        <v>100</v>
      </c>
      <c r="B317" s="4">
        <v>45748</v>
      </c>
      <c r="C317" s="5" t="s">
        <v>20</v>
      </c>
      <c r="D317" s="5" t="s">
        <v>16</v>
      </c>
      <c r="E317" s="5">
        <v>66456.28</v>
      </c>
      <c r="F317" s="5">
        <v>9967</v>
      </c>
      <c r="G317" s="5">
        <v>0.108</v>
      </c>
      <c r="H317" s="5">
        <v>20</v>
      </c>
      <c r="I317" s="5">
        <v>94.7</v>
      </c>
      <c r="J317" s="5">
        <v>4.4800000000000004</v>
      </c>
      <c r="K317" s="5">
        <v>0</v>
      </c>
      <c r="L317" s="5">
        <v>4.2</v>
      </c>
      <c r="M317" s="5">
        <v>844710.67</v>
      </c>
      <c r="N317" s="5">
        <v>137140.18</v>
      </c>
    </row>
    <row r="318" spans="1:14">
      <c r="A318" s="3" t="s">
        <v>101</v>
      </c>
      <c r="B318" s="4">
        <v>45658</v>
      </c>
      <c r="C318" s="5" t="s">
        <v>15</v>
      </c>
      <c r="D318" s="5" t="s">
        <v>16</v>
      </c>
      <c r="E318" s="5">
        <v>76614.320000000007</v>
      </c>
      <c r="F318" s="5">
        <v>5639</v>
      </c>
      <c r="G318" s="5">
        <v>0.17399999999999999</v>
      </c>
      <c r="H318" s="5">
        <v>15</v>
      </c>
      <c r="I318" s="5">
        <v>92.9</v>
      </c>
      <c r="J318" s="5">
        <v>1.02</v>
      </c>
      <c r="K318" s="5">
        <v>1</v>
      </c>
      <c r="L318" s="5">
        <v>4</v>
      </c>
      <c r="M318" s="5">
        <v>620264.19999999995</v>
      </c>
      <c r="N318" s="5">
        <v>91365.64</v>
      </c>
    </row>
    <row r="319" spans="1:14">
      <c r="A319" s="3" t="s">
        <v>101</v>
      </c>
      <c r="B319" s="4">
        <v>45689</v>
      </c>
      <c r="C319" s="5" t="s">
        <v>15</v>
      </c>
      <c r="D319" s="5" t="s">
        <v>16</v>
      </c>
      <c r="E319" s="5">
        <v>24088.06</v>
      </c>
      <c r="F319" s="5">
        <v>3466</v>
      </c>
      <c r="G319" s="5">
        <v>0</v>
      </c>
      <c r="H319" s="5">
        <v>11</v>
      </c>
      <c r="I319" s="5">
        <v>88</v>
      </c>
      <c r="J319" s="5">
        <v>0.2</v>
      </c>
      <c r="K319" s="5">
        <v>0</v>
      </c>
      <c r="L319" s="5">
        <v>3.8</v>
      </c>
      <c r="M319" s="5">
        <v>536845.42000000004</v>
      </c>
      <c r="N319" s="5">
        <v>107473.75</v>
      </c>
    </row>
    <row r="320" spans="1:14">
      <c r="A320" s="3" t="s">
        <v>101</v>
      </c>
      <c r="B320" s="4">
        <v>45717</v>
      </c>
      <c r="C320" s="5" t="s">
        <v>15</v>
      </c>
      <c r="D320" s="5" t="s">
        <v>16</v>
      </c>
      <c r="E320" s="5">
        <v>81902.58</v>
      </c>
      <c r="F320" s="5">
        <v>7775</v>
      </c>
      <c r="G320" s="5">
        <v>0.215</v>
      </c>
      <c r="H320" s="5">
        <v>20</v>
      </c>
      <c r="I320" s="5">
        <v>85.2</v>
      </c>
      <c r="J320" s="5">
        <v>4.8899999999999997</v>
      </c>
      <c r="K320" s="5">
        <v>1</v>
      </c>
      <c r="L320" s="5">
        <v>4.2</v>
      </c>
      <c r="M320" s="5">
        <v>726776.22</v>
      </c>
      <c r="N320" s="5">
        <v>90804.49</v>
      </c>
    </row>
    <row r="321" spans="1:14">
      <c r="A321" s="3" t="s">
        <v>101</v>
      </c>
      <c r="B321" s="4">
        <v>45748</v>
      </c>
      <c r="C321" s="5" t="s">
        <v>15</v>
      </c>
      <c r="D321" s="5" t="s">
        <v>16</v>
      </c>
      <c r="E321" s="5">
        <v>40553.11</v>
      </c>
      <c r="F321" s="5">
        <v>5317</v>
      </c>
      <c r="G321" s="5">
        <v>0.16500000000000001</v>
      </c>
      <c r="H321" s="5">
        <v>17</v>
      </c>
      <c r="I321" s="5">
        <v>84.3</v>
      </c>
      <c r="J321" s="5">
        <v>11.82</v>
      </c>
      <c r="K321" s="5">
        <v>0</v>
      </c>
      <c r="L321" s="5">
        <v>4.0999999999999996</v>
      </c>
      <c r="M321" s="5">
        <v>559660.84</v>
      </c>
      <c r="N321" s="5">
        <v>71443.61</v>
      </c>
    </row>
  </sheetData>
  <autoFilter ref="A1:N321" xr:uid="{00000000-0001-0000-0000-000000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4D0F-F9D8-4AAE-B557-BB91C2E279C4}">
  <dimension ref="A1:B15"/>
  <sheetViews>
    <sheetView workbookViewId="0">
      <selection activeCell="G12" sqref="G12"/>
    </sheetView>
  </sheetViews>
  <sheetFormatPr defaultRowHeight="13.8"/>
  <cols>
    <col min="1" max="2" width="31.109375" style="3" customWidth="1"/>
    <col min="3" max="16384" width="8.88671875" style="3"/>
  </cols>
  <sheetData>
    <row r="1" spans="1:2" ht="22.35" customHeight="1">
      <c r="A1" s="1" t="s">
        <v>102</v>
      </c>
      <c r="B1" s="1" t="s">
        <v>103</v>
      </c>
    </row>
    <row r="2" spans="1:2">
      <c r="A2" s="6" t="s">
        <v>0</v>
      </c>
      <c r="B2" s="6" t="s">
        <v>104</v>
      </c>
    </row>
    <row r="3" spans="1:2">
      <c r="A3" s="6" t="s">
        <v>1</v>
      </c>
      <c r="B3" s="6" t="s">
        <v>105</v>
      </c>
    </row>
    <row r="4" spans="1:2">
      <c r="A4" s="6" t="s">
        <v>2</v>
      </c>
      <c r="B4" s="6" t="s">
        <v>106</v>
      </c>
    </row>
    <row r="5" spans="1:2" ht="27.6">
      <c r="A5" s="6" t="s">
        <v>3</v>
      </c>
      <c r="B5" s="6" t="s">
        <v>107</v>
      </c>
    </row>
    <row r="6" spans="1:2" ht="27.6">
      <c r="A6" s="6" t="s">
        <v>4</v>
      </c>
      <c r="B6" s="6" t="s">
        <v>108</v>
      </c>
    </row>
    <row r="7" spans="1:2">
      <c r="A7" s="6" t="s">
        <v>5</v>
      </c>
      <c r="B7" s="6" t="s">
        <v>109</v>
      </c>
    </row>
    <row r="8" spans="1:2" ht="27.6">
      <c r="A8" s="6" t="s">
        <v>6</v>
      </c>
      <c r="B8" s="6" t="s">
        <v>110</v>
      </c>
    </row>
    <row r="9" spans="1:2">
      <c r="A9" s="6" t="s">
        <v>7</v>
      </c>
      <c r="B9" s="6" t="s">
        <v>111</v>
      </c>
    </row>
    <row r="10" spans="1:2" ht="27.6">
      <c r="A10" s="6" t="s">
        <v>8</v>
      </c>
      <c r="B10" s="6" t="s">
        <v>112</v>
      </c>
    </row>
    <row r="11" spans="1:2">
      <c r="A11" s="6" t="s">
        <v>9</v>
      </c>
      <c r="B11" s="6" t="s">
        <v>113</v>
      </c>
    </row>
    <row r="12" spans="1:2" ht="41.4">
      <c r="A12" s="6" t="s">
        <v>10</v>
      </c>
      <c r="B12" s="6" t="s">
        <v>114</v>
      </c>
    </row>
    <row r="13" spans="1:2">
      <c r="A13" s="6" t="s">
        <v>11</v>
      </c>
      <c r="B13" s="6" t="s">
        <v>115</v>
      </c>
    </row>
    <row r="14" spans="1:2" ht="27.6">
      <c r="A14" s="6" t="s">
        <v>12</v>
      </c>
      <c r="B14" s="6" t="s">
        <v>116</v>
      </c>
    </row>
    <row r="15" spans="1:2" ht="27.6">
      <c r="A15" s="6" t="s">
        <v>13</v>
      </c>
      <c r="B15" s="6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cleaned_store_performance</vt:lpstr>
      <vt:lpstr>dummy_variable_creation</vt:lpstr>
      <vt:lpstr>Simple_regression_1</vt:lpstr>
      <vt:lpstr>Simple_regression_2</vt:lpstr>
      <vt:lpstr>Multiple_regression</vt:lpstr>
      <vt:lpstr>multiple_regression_data</vt:lpstr>
      <vt:lpstr>residual_analysis</vt:lpstr>
      <vt:lpstr>largest_residuals</vt:lpstr>
      <vt:lpstr>original_store_performance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NatashaR</dc:creator>
  <cp:lastModifiedBy>Natasha R</cp:lastModifiedBy>
  <dcterms:created xsi:type="dcterms:W3CDTF">2015-06-05T18:17:20Z</dcterms:created>
  <dcterms:modified xsi:type="dcterms:W3CDTF">2026-06-28T11:24:04Z</dcterms:modified>
</cp:coreProperties>
</file>